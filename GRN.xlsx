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fit_demo\chetan\GRN\"/>
    </mc:Choice>
  </mc:AlternateContent>
  <xr:revisionPtr revIDLastSave="0" documentId="13_ncr:1_{0CCB34A5-2028-4AAD-AFEE-9A150CEB00B1}" xr6:coauthVersionLast="47" xr6:coauthVersionMax="47" xr10:uidLastSave="{00000000-0000-0000-0000-000000000000}"/>
  <bookViews>
    <workbookView xWindow="-108" yWindow="-108" windowWidth="23256" windowHeight="12456" xr2:uid="{E01A45B5-7719-4730-83F1-41A466E3E0FA}"/>
  </bookViews>
  <sheets>
    <sheet name="G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K14" i="1"/>
  <c r="E32" i="1" s="1"/>
  <c r="I14" i="1"/>
  <c r="G14" i="1"/>
  <c r="X16" i="1"/>
  <c r="D14" i="1"/>
  <c r="I7" i="1"/>
  <c r="L7" i="1"/>
  <c r="Q7" i="1"/>
  <c r="E7" i="1"/>
  <c r="Q6" i="1"/>
  <c r="M24" i="1" l="1"/>
  <c r="I32" i="1" l="1"/>
  <c r="M32" i="1" s="1"/>
  <c r="M30" i="1"/>
</calcChain>
</file>

<file path=xl/sharedStrings.xml><?xml version="1.0" encoding="utf-8"?>
<sst xmlns="http://schemas.openxmlformats.org/spreadsheetml/2006/main" count="179" uniqueCount="123">
  <si>
    <t>id</t>
  </si>
  <si>
    <t>GRN No</t>
  </si>
  <si>
    <t>GRN Date</t>
  </si>
  <si>
    <t xml:space="preserve">Gate  Pass No </t>
  </si>
  <si>
    <t>Driver</t>
  </si>
  <si>
    <t>Vehicle</t>
  </si>
  <si>
    <t>Weighment Slip No.</t>
  </si>
  <si>
    <t>Weighment Date</t>
  </si>
  <si>
    <t>Bags</t>
  </si>
  <si>
    <t>Gross Weight</t>
  </si>
  <si>
    <t>Gate Pass Date</t>
  </si>
  <si>
    <t>Net Weight</t>
  </si>
  <si>
    <t>Test Name</t>
  </si>
  <si>
    <t>Moisture</t>
  </si>
  <si>
    <t>Foreign Particles</t>
  </si>
  <si>
    <t>Test Result</t>
  </si>
  <si>
    <t>Test Method</t>
  </si>
  <si>
    <t>Permitted range</t>
  </si>
  <si>
    <t>Remarks</t>
  </si>
  <si>
    <t>Action</t>
  </si>
  <si>
    <t>Total</t>
  </si>
  <si>
    <t>GatePassNo</t>
  </si>
  <si>
    <t>GatePassdate</t>
  </si>
  <si>
    <t>VehicleNo</t>
  </si>
  <si>
    <t>DriverName</t>
  </si>
  <si>
    <t>KA01/1234</t>
  </si>
  <si>
    <t>Ram</t>
  </si>
  <si>
    <t>KA00/1234</t>
  </si>
  <si>
    <t>HR09</t>
  </si>
  <si>
    <t>DL06</t>
  </si>
  <si>
    <t>PB25/2300</t>
  </si>
  <si>
    <t>KA00/098</t>
  </si>
  <si>
    <t>KL03/234</t>
  </si>
  <si>
    <t>Shyam</t>
  </si>
  <si>
    <t>Mohan</t>
  </si>
  <si>
    <t>Kamal</t>
  </si>
  <si>
    <t>Aman</t>
  </si>
  <si>
    <t>Raman</t>
  </si>
  <si>
    <t>Kamat</t>
  </si>
  <si>
    <t>5</t>
  </si>
  <si>
    <t>3</t>
  </si>
  <si>
    <t>6</t>
  </si>
  <si>
    <t>7</t>
  </si>
  <si>
    <t>4</t>
  </si>
  <si>
    <t>2</t>
  </si>
  <si>
    <t>tblGatePass</t>
  </si>
  <si>
    <t>WeighmentNo</t>
  </si>
  <si>
    <t>WeighmentDate</t>
  </si>
  <si>
    <t>GrossWeight</t>
  </si>
  <si>
    <t>TareWeight</t>
  </si>
  <si>
    <t>NetWeight</t>
  </si>
  <si>
    <t>Materials</t>
  </si>
  <si>
    <t>Gross weight</t>
  </si>
  <si>
    <t>tblGatePass_Tran</t>
  </si>
  <si>
    <t>FatePassDate</t>
  </si>
  <si>
    <t>Wheat</t>
  </si>
  <si>
    <t>Maize</t>
  </si>
  <si>
    <t>Gram</t>
  </si>
  <si>
    <t>Rice</t>
  </si>
  <si>
    <t>MaterialID</t>
  </si>
  <si>
    <t>TestName</t>
  </si>
  <si>
    <t>tblTestName</t>
  </si>
  <si>
    <t>tblTestMethod</t>
  </si>
  <si>
    <t>Manual</t>
  </si>
  <si>
    <t>automatic</t>
  </si>
  <si>
    <t>owen</t>
  </si>
  <si>
    <t>Weight Deducted</t>
  </si>
  <si>
    <t>Permitted Range Max</t>
  </si>
  <si>
    <t>A.) Net Weight</t>
  </si>
  <si>
    <t>B.) Weight deducted</t>
  </si>
  <si>
    <t>C.=A-B) Approved Weight</t>
  </si>
  <si>
    <t>Goods Receipt Note:</t>
  </si>
  <si>
    <t>Autogenerated</t>
  </si>
  <si>
    <t>tblGRN</t>
  </si>
  <si>
    <t>GrnNo</t>
  </si>
  <si>
    <t>GrnDate</t>
  </si>
  <si>
    <t>Draft</t>
  </si>
  <si>
    <t>-----------------</t>
  </si>
  <si>
    <t>Submitted for approval</t>
  </si>
  <si>
    <t>-------------------</t>
  </si>
  <si>
    <t>Referred Back</t>
  </si>
  <si>
    <t>-----</t>
  </si>
  <si>
    <t>Approved</t>
  </si>
  <si>
    <t>---</t>
  </si>
  <si>
    <t>Released</t>
  </si>
  <si>
    <t>Status</t>
  </si>
  <si>
    <t>tblApprovalStages</t>
  </si>
  <si>
    <t>GatepassNo</t>
  </si>
  <si>
    <t>Netweight</t>
  </si>
  <si>
    <t>DeductedWeight</t>
  </si>
  <si>
    <t>Approvedweight</t>
  </si>
  <si>
    <t>status</t>
  </si>
  <si>
    <t>draftedby</t>
  </si>
  <si>
    <t>submittedby</t>
  </si>
  <si>
    <t>referedbackby</t>
  </si>
  <si>
    <t>approvedby</t>
  </si>
  <si>
    <t>Internal Notes</t>
  </si>
  <si>
    <t>internalnotes</t>
  </si>
  <si>
    <t>autogenerated</t>
  </si>
  <si>
    <t>date</t>
  </si>
  <si>
    <t>numeric</t>
  </si>
  <si>
    <t>number 18,2</t>
  </si>
  <si>
    <t>userid</t>
  </si>
  <si>
    <t>varchar</t>
  </si>
  <si>
    <t>tblGRN_TRAN_MAT</t>
  </si>
  <si>
    <t>tblGRN_TRAN_TEST</t>
  </si>
  <si>
    <t>Grossweight</t>
  </si>
  <si>
    <t>usercreated</t>
  </si>
  <si>
    <t>usermodified</t>
  </si>
  <si>
    <t>datecreated</t>
  </si>
  <si>
    <t>datemodified</t>
  </si>
  <si>
    <t>SubmissionDate</t>
  </si>
  <si>
    <t>Referredbackdate</t>
  </si>
  <si>
    <t>ApprovalDate</t>
  </si>
  <si>
    <t>datetimestamp</t>
  </si>
  <si>
    <t>DraftedDate</t>
  </si>
  <si>
    <t>TestID</t>
  </si>
  <si>
    <t>Testmethodid</t>
  </si>
  <si>
    <t>fk</t>
  </si>
  <si>
    <t>Testresult</t>
  </si>
  <si>
    <t>deducted weight</t>
  </si>
  <si>
    <t>deductedweight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</si>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</sst>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Fill="1" applyBorder="1"/>
    <xf numFmtId="0" fontId="0" fillId="0" borderId="10" xfId="0" applyBorder="1"/>
    <xf numFmtId="0" fontId="0" fillId="2" borderId="4" xfId="0" applyFill="1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165" fontId="0" fillId="0" borderId="2" xfId="0" applyNumberFormat="1" applyBorder="1"/>
    <xf numFmtId="49" fontId="0" fillId="0" borderId="1" xfId="0" quotePrefix="1" applyNumberFormat="1" applyBorder="1"/>
    <xf numFmtId="14" fontId="0" fillId="0" borderId="1" xfId="0" applyNumberFormat="1" applyBorder="1"/>
    <xf numFmtId="15" fontId="0" fillId="0" borderId="1" xfId="0" applyNumberFormat="1" applyBorder="1"/>
    <xf numFmtId="1" fontId="0" fillId="0" borderId="1" xfId="0" applyNumberFormat="1" applyBorder="1"/>
    <xf numFmtId="0" fontId="0" fillId="0" borderId="0" xfId="0" applyBorder="1" applyAlignment="1"/>
    <xf numFmtId="0" fontId="0" fillId="0" borderId="14" xfId="0" applyBorder="1" applyAlignment="1"/>
    <xf numFmtId="0" fontId="0" fillId="2" borderId="12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7" xfId="0" applyBorder="1"/>
    <xf numFmtId="14" fontId="0" fillId="0" borderId="0" xfId="0" applyNumberFormat="1" applyBorder="1"/>
    <xf numFmtId="9" fontId="0" fillId="0" borderId="14" xfId="1" applyFont="1" applyBorder="1"/>
    <xf numFmtId="0" fontId="0" fillId="3" borderId="14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" xfId="1" quotePrefix="1" applyFont="1" applyBorder="1"/>
    <xf numFmtId="0" fontId="0" fillId="0" borderId="0" xfId="0" applyBorder="1" applyAlignment="1">
      <alignment horizontal="center" vertical="top"/>
    </xf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18" xfId="0" applyFill="1" applyBorder="1"/>
    <xf numFmtId="2" fontId="0" fillId="2" borderId="21" xfId="0" applyNumberFormat="1" applyFill="1" applyBorder="1"/>
    <xf numFmtId="2" fontId="0" fillId="0" borderId="21" xfId="0" applyNumberFormat="1" applyBorder="1"/>
    <xf numFmtId="49" fontId="0" fillId="0" borderId="21" xfId="0" quotePrefix="1" applyNumberFormat="1" applyBorder="1"/>
    <xf numFmtId="0" fontId="2" fillId="0" borderId="0" xfId="0" applyFont="1" applyBorder="1"/>
    <xf numFmtId="0" fontId="0" fillId="0" borderId="0" xfId="0" quotePrefix="1" applyBorder="1"/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Spin" dx="26" max="30000" page="10" val="2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Spin" dx="26" max="30000" page="10" val="2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</xdr:row>
          <xdr:rowOff>10160</xdr:rowOff>
        </xdr:from>
        <xdr:to>
          <xdr:col>13</xdr:col>
          <xdr:colOff>25400</xdr:colOff>
          <xdr:row>7</xdr:row>
          <xdr:rowOff>15240</xdr:rowOff>
        </xdr:to>
        <xdr:sp macro="" textlink="">
          <xdr:nvSpPr>
            <xdr:cNvPr id="1026" name="Combo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F573CF1-40DF-C061-9A02-DDF712422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23</xdr:row>
          <xdr:rowOff>0</xdr:rowOff>
        </xdr:from>
        <xdr:to>
          <xdr:col>16</xdr:col>
          <xdr:colOff>175260</xdr:colOff>
          <xdr:row>23</xdr:row>
          <xdr:rowOff>152400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403860</xdr:colOff>
          <xdr:row>23</xdr:row>
          <xdr:rowOff>15240</xdr:rowOff>
        </xdr:from>
        <xdr:to>
          <xdr:col>16</xdr:col>
          <xdr:colOff>556260</xdr:colOff>
          <xdr:row>23</xdr:row>
          <xdr:rowOff>182880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45590</xdr:colOff>
          <xdr:row>23</xdr:row>
          <xdr:rowOff>38100</xdr:rowOff>
        </xdr:from>
        <xdr:to>
          <xdr:col>17</xdr:col>
          <xdr:colOff>220980</xdr:colOff>
          <xdr:row>28</xdr:row>
          <xdr:rowOff>152400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</xdr:colOff>
          <xdr:row>4</xdr:row>
          <xdr:rowOff>175847</xdr:rowOff>
        </xdr:from>
        <xdr:to>
          <xdr:col>13</xdr:col>
          <xdr:colOff>0</xdr:colOff>
          <xdr:row>6</xdr:row>
          <xdr:rowOff>15241</xdr:rowOff>
        </xdr:to>
        <xdr:sp macro="" textlink="">
          <xdr:nvSpPr>
            <xdr:cNvPr id="1039" name="ComboBox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13</xdr:row>
          <xdr:rowOff>0</xdr:rowOff>
        </xdr:from>
        <xdr:to>
          <xdr:col>16</xdr:col>
          <xdr:colOff>175260</xdr:colOff>
          <xdr:row>13</xdr:row>
          <xdr:rowOff>152400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96BF3491-5D8C-4F7A-A5E1-0CC88AAA8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403860</xdr:colOff>
          <xdr:row>13</xdr:row>
          <xdr:rowOff>15240</xdr:rowOff>
        </xdr:from>
        <xdr:to>
          <xdr:col>16</xdr:col>
          <xdr:colOff>556260</xdr:colOff>
          <xdr:row>13</xdr:row>
          <xdr:rowOff>182880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54B33EBE-E713-4095-B946-8A8EDD345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45590</xdr:colOff>
          <xdr:row>13</xdr:row>
          <xdr:rowOff>38100</xdr:rowOff>
        </xdr:from>
        <xdr:to>
          <xdr:col>17</xdr:col>
          <xdr:colOff>220980</xdr:colOff>
          <xdr:row>18</xdr:row>
          <xdr:rowOff>152400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A05500F-02C1-4F22-A55D-523B94470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control" Target="../activeX/activeX1.xml"/><Relationship Id="rId7" Type="http://schemas.openxmlformats.org/officeDocument/2006/relationships/ctrlProp" Target="../ctrlProps/ctrlProp1.xml"/><Relationship Id="rId12" Type="http://schemas.openxmlformats.org/officeDocument/2006/relationships/ctrlProp" Target="../ctrlProps/ctrlProp6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trlProp" Target="../ctrlProps/ctrlProp5.xml"/><Relationship Id="rId5" Type="http://schemas.openxmlformats.org/officeDocument/2006/relationships/control" Target="../activeX/activeX2.xml"/><Relationship Id="rId10" Type="http://schemas.openxmlformats.org/officeDocument/2006/relationships/ctrlProp" Target="../ctrlProps/ctrlProp4.xml"/><Relationship Id="rId4" Type="http://schemas.openxmlformats.org/officeDocument/2006/relationships/image" Target="../media/image1.emf"/><Relationship Id="rId9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47FE-A7C8-4CC5-B0E5-EF6441188BFD}">
  <sheetPr codeName="Sheet1"/>
  <dimension ref="B1:AK50"/>
  <sheetViews>
    <sheetView showGridLines="0" tabSelected="1" zoomScale="70" zoomScaleNormal="70" workbookViewId="0">
      <selection activeCell="U25" sqref="U25"/>
    </sheetView>
  </sheetViews>
  <sheetFormatPr defaultRowHeight="14.4"/>
  <cols>
    <col min="2" max="2" width="3.88671875" customWidth="1"/>
    <col min="3" max="3" width="1.33203125" customWidth="1"/>
    <col min="4" max="4" width="17.77734375" customWidth="1"/>
    <col min="5" max="5" width="13.44140625" customWidth="1"/>
    <col min="6" max="6" width="3" customWidth="1"/>
    <col min="7" max="7" width="16.5546875" customWidth="1"/>
    <col min="8" max="8" width="1.44140625" customWidth="1"/>
    <col min="9" max="9" width="15.21875" customWidth="1"/>
    <col min="10" max="10" width="1.33203125" customWidth="1"/>
    <col min="11" max="11" width="21.88671875" bestFit="1" customWidth="1"/>
    <col min="12" max="12" width="2.77734375" customWidth="1"/>
    <col min="13" max="13" width="13.44140625" customWidth="1"/>
    <col min="14" max="14" width="2.44140625" customWidth="1"/>
    <col min="15" max="15" width="15.109375" bestFit="1" customWidth="1"/>
    <col min="16" max="16" width="2.77734375" customWidth="1"/>
    <col min="17" max="17" width="12.6640625" bestFit="1" customWidth="1"/>
    <col min="18" max="18" width="3.6640625" customWidth="1"/>
    <col min="19" max="20" width="4" customWidth="1"/>
    <col min="21" max="21" width="10.88671875" bestFit="1" customWidth="1"/>
    <col min="22" max="22" width="14.109375" customWidth="1"/>
    <col min="23" max="23" width="18.6640625" bestFit="1" customWidth="1"/>
    <col min="24" max="24" width="18.21875" bestFit="1" customWidth="1"/>
    <col min="25" max="25" width="17.33203125" bestFit="1" customWidth="1"/>
    <col min="26" max="26" width="14.33203125" bestFit="1" customWidth="1"/>
    <col min="27" max="27" width="9.109375" bestFit="1" customWidth="1"/>
    <col min="28" max="28" width="17.33203125" bestFit="1" customWidth="1"/>
    <col min="29" max="29" width="13.109375" bestFit="1" customWidth="1"/>
    <col min="30" max="30" width="9.77734375" bestFit="1" customWidth="1"/>
    <col min="32" max="32" width="15.33203125" bestFit="1" customWidth="1"/>
    <col min="33" max="33" width="12" bestFit="1" customWidth="1"/>
    <col min="36" max="36" width="11.77734375" bestFit="1" customWidth="1"/>
  </cols>
  <sheetData>
    <row r="1" spans="2:37" ht="15" thickBot="1"/>
    <row r="2" spans="2:37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2"/>
    </row>
    <row r="3" spans="2:37">
      <c r="B3" s="8"/>
      <c r="C3" s="2"/>
      <c r="D3" s="49" t="s">
        <v>71</v>
      </c>
      <c r="E3" s="2"/>
      <c r="F3" s="2"/>
      <c r="G3" s="2"/>
      <c r="H3" s="2"/>
      <c r="I3" s="2"/>
      <c r="J3" s="2"/>
      <c r="K3" s="41"/>
      <c r="L3" s="2"/>
      <c r="M3" s="2"/>
      <c r="N3" s="2"/>
      <c r="O3" s="2"/>
      <c r="P3" s="2"/>
      <c r="Q3" s="2"/>
      <c r="R3" s="2"/>
      <c r="S3" s="9"/>
      <c r="T3" s="2"/>
    </row>
    <row r="4" spans="2:37" ht="15" thickBot="1">
      <c r="B4" s="8"/>
      <c r="C4" s="2"/>
      <c r="D4" s="2"/>
      <c r="E4" s="2"/>
      <c r="F4" s="2"/>
      <c r="G4" s="2"/>
      <c r="H4" s="2"/>
      <c r="I4" s="2"/>
      <c r="J4" s="2"/>
      <c r="K4" s="41"/>
      <c r="L4" s="2"/>
      <c r="M4" s="2"/>
      <c r="N4" s="2"/>
      <c r="O4" s="2"/>
      <c r="P4" s="2"/>
      <c r="Q4" s="2"/>
      <c r="R4" s="2"/>
      <c r="S4" s="9"/>
      <c r="T4" s="2"/>
      <c r="U4" s="46" t="s">
        <v>45</v>
      </c>
    </row>
    <row r="5" spans="2:37" ht="15" thickBot="1">
      <c r="B5" s="8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9"/>
      <c r="T5" s="2"/>
      <c r="U5" s="47" t="s">
        <v>21</v>
      </c>
      <c r="V5" s="1" t="s">
        <v>22</v>
      </c>
      <c r="W5" s="1" t="s">
        <v>23</v>
      </c>
      <c r="X5" s="1" t="s">
        <v>24</v>
      </c>
      <c r="Y5" s="1" t="s">
        <v>46</v>
      </c>
      <c r="Z5" s="1" t="s">
        <v>47</v>
      </c>
      <c r="AA5" s="1" t="s">
        <v>8</v>
      </c>
      <c r="AB5" s="1" t="s">
        <v>48</v>
      </c>
      <c r="AC5" s="1" t="s">
        <v>49</v>
      </c>
      <c r="AD5" s="1" t="s">
        <v>50</v>
      </c>
    </row>
    <row r="6" spans="2:37" ht="15" thickBot="1">
      <c r="B6" s="8"/>
      <c r="C6" s="8"/>
      <c r="D6" s="2" t="s">
        <v>1</v>
      </c>
      <c r="E6" s="3" t="s">
        <v>72</v>
      </c>
      <c r="F6" s="2"/>
      <c r="G6" s="2" t="s">
        <v>2</v>
      </c>
      <c r="H6" s="2"/>
      <c r="I6" s="3"/>
      <c r="J6" s="2"/>
      <c r="K6" s="2" t="s">
        <v>3</v>
      </c>
      <c r="L6" s="2"/>
      <c r="M6" s="2" t="s">
        <v>42</v>
      </c>
      <c r="N6" s="2"/>
      <c r="O6" s="2" t="s">
        <v>10</v>
      </c>
      <c r="P6" s="2"/>
      <c r="Q6" s="25">
        <f>_xlfn.XLOOKUP(M6, U6:U12, V6:V12, "Not Found")</f>
        <v>46028</v>
      </c>
      <c r="R6" s="9"/>
      <c r="S6" s="9"/>
      <c r="T6" s="2"/>
      <c r="U6" s="48">
        <v>1</v>
      </c>
      <c r="V6" s="27">
        <v>46028</v>
      </c>
      <c r="W6" s="1" t="s">
        <v>25</v>
      </c>
      <c r="X6" s="1" t="s">
        <v>26</v>
      </c>
      <c r="Y6" s="1">
        <v>12</v>
      </c>
      <c r="Z6" s="28">
        <v>46082</v>
      </c>
      <c r="AA6" s="29">
        <v>100</v>
      </c>
      <c r="AB6" s="1">
        <v>123</v>
      </c>
      <c r="AC6" s="1">
        <v>23</v>
      </c>
      <c r="AD6" s="1">
        <v>100</v>
      </c>
    </row>
    <row r="7" spans="2:37" ht="15" thickBot="1">
      <c r="B7" s="8"/>
      <c r="C7" s="8"/>
      <c r="D7" s="2" t="s">
        <v>5</v>
      </c>
      <c r="E7" s="3" t="str">
        <f>_xlfn.XLOOKUP(M6, U6:U12, W6:W12, "Not Found")</f>
        <v>KL03/234</v>
      </c>
      <c r="F7" s="2"/>
      <c r="G7" s="2" t="s">
        <v>4</v>
      </c>
      <c r="H7" s="2"/>
      <c r="I7" s="3">
        <f>M14</f>
        <v>0</v>
      </c>
      <c r="J7" s="2"/>
      <c r="K7" s="2" t="s">
        <v>6</v>
      </c>
      <c r="L7" s="2">
        <f>_xlfn.XLOOKUP(M6, U6:U12, Y6:Y12, "Not Found")</f>
        <v>21</v>
      </c>
      <c r="M7" s="2"/>
      <c r="N7" s="2"/>
      <c r="O7" s="2" t="s">
        <v>7</v>
      </c>
      <c r="P7" s="2"/>
      <c r="Q7" s="25">
        <f>_xlfn.XLOOKUP(M6, U6:U12, Z6:Z12, "Not Found")</f>
        <v>46088</v>
      </c>
      <c r="R7" s="9"/>
      <c r="S7" s="9"/>
      <c r="T7" s="2"/>
      <c r="U7" s="48" t="s">
        <v>44</v>
      </c>
      <c r="V7" s="27">
        <v>42404</v>
      </c>
      <c r="W7" s="1" t="s">
        <v>27</v>
      </c>
      <c r="X7" s="1" t="s">
        <v>33</v>
      </c>
      <c r="Y7" s="1">
        <v>23</v>
      </c>
      <c r="Z7" s="28">
        <v>46083</v>
      </c>
      <c r="AA7" s="29">
        <v>101</v>
      </c>
      <c r="AB7" s="1">
        <v>134</v>
      </c>
      <c r="AC7" s="1">
        <v>34</v>
      </c>
      <c r="AD7" s="1">
        <v>100</v>
      </c>
      <c r="AF7" s="24" t="s">
        <v>53</v>
      </c>
    </row>
    <row r="8" spans="2:37">
      <c r="B8" s="8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9"/>
      <c r="S8" s="9"/>
      <c r="T8" s="2"/>
      <c r="U8" s="48" t="s">
        <v>40</v>
      </c>
      <c r="V8" s="27">
        <v>46028</v>
      </c>
      <c r="W8" s="1" t="s">
        <v>28</v>
      </c>
      <c r="X8" s="1" t="s">
        <v>34</v>
      </c>
      <c r="Y8" s="1">
        <v>4</v>
      </c>
      <c r="Z8" s="28">
        <v>46084</v>
      </c>
      <c r="AA8" s="29">
        <v>98</v>
      </c>
      <c r="AB8" s="1">
        <v>212</v>
      </c>
      <c r="AC8" s="1">
        <v>33</v>
      </c>
      <c r="AD8" s="1">
        <v>179</v>
      </c>
      <c r="AF8" s="1" t="s">
        <v>21</v>
      </c>
      <c r="AG8" s="1" t="s">
        <v>54</v>
      </c>
      <c r="AH8" s="1" t="s">
        <v>59</v>
      </c>
      <c r="AI8" s="33" t="s">
        <v>8</v>
      </c>
      <c r="AJ8" s="1" t="s">
        <v>9</v>
      </c>
      <c r="AK8" s="1" t="s">
        <v>11</v>
      </c>
    </row>
    <row r="9" spans="2:37" ht="15" thickBot="1">
      <c r="B9" s="8"/>
      <c r="C9" s="10"/>
      <c r="D9" s="11"/>
      <c r="E9" s="11"/>
      <c r="F9" s="11"/>
      <c r="G9" s="12"/>
      <c r="H9" s="12"/>
      <c r="I9" s="11"/>
      <c r="J9" s="11"/>
      <c r="K9" s="11"/>
      <c r="L9" s="11"/>
      <c r="M9" s="11"/>
      <c r="N9" s="11"/>
      <c r="O9" s="11"/>
      <c r="P9" s="11"/>
      <c r="Q9" s="11"/>
      <c r="R9" s="13"/>
      <c r="S9" s="9"/>
      <c r="T9" s="2"/>
      <c r="U9" s="48" t="s">
        <v>43</v>
      </c>
      <c r="V9" s="27">
        <v>46028</v>
      </c>
      <c r="W9" s="1" t="s">
        <v>29</v>
      </c>
      <c r="X9" s="1" t="s">
        <v>35</v>
      </c>
      <c r="Y9" s="1">
        <v>5</v>
      </c>
      <c r="Z9" s="28">
        <v>46085</v>
      </c>
      <c r="AA9" s="29">
        <v>102</v>
      </c>
      <c r="AB9" s="1">
        <v>334</v>
      </c>
      <c r="AC9" s="1">
        <v>25</v>
      </c>
      <c r="AD9" s="1">
        <v>309</v>
      </c>
      <c r="AF9" s="26">
        <v>1</v>
      </c>
      <c r="AG9" s="27">
        <v>46028</v>
      </c>
      <c r="AH9" s="1" t="s">
        <v>55</v>
      </c>
      <c r="AI9" s="1">
        <v>20</v>
      </c>
      <c r="AJ9" s="1">
        <v>12</v>
      </c>
      <c r="AK9" s="1">
        <v>11</v>
      </c>
    </row>
    <row r="10" spans="2:37" ht="15" thickBot="1">
      <c r="B10" s="8"/>
      <c r="C10" s="2"/>
      <c r="D10" s="2"/>
      <c r="E10" s="2"/>
      <c r="F10" s="2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9"/>
      <c r="T10" s="2"/>
      <c r="U10" s="48" t="s">
        <v>39</v>
      </c>
      <c r="V10" s="27">
        <v>46028</v>
      </c>
      <c r="W10" s="1" t="s">
        <v>30</v>
      </c>
      <c r="X10" s="1" t="s">
        <v>36</v>
      </c>
      <c r="Y10" s="1">
        <v>5</v>
      </c>
      <c r="Z10" s="28">
        <v>46086</v>
      </c>
      <c r="AA10" s="29">
        <v>104</v>
      </c>
      <c r="AB10" s="1">
        <v>334</v>
      </c>
      <c r="AC10" s="1">
        <v>32</v>
      </c>
      <c r="AD10" s="1">
        <v>302</v>
      </c>
      <c r="AF10" s="26" t="s">
        <v>44</v>
      </c>
      <c r="AG10" s="27">
        <v>42404</v>
      </c>
      <c r="AH10" s="1" t="s">
        <v>56</v>
      </c>
      <c r="AI10" s="1">
        <v>50</v>
      </c>
      <c r="AJ10" s="1">
        <v>21</v>
      </c>
      <c r="AK10" s="1">
        <v>21</v>
      </c>
    </row>
    <row r="11" spans="2:37" ht="15" thickBot="1">
      <c r="B11" s="8"/>
      <c r="C11" s="42" t="s">
        <v>76</v>
      </c>
      <c r="D11" s="16"/>
      <c r="E11" s="50" t="s">
        <v>77</v>
      </c>
      <c r="F11" s="42" t="s">
        <v>78</v>
      </c>
      <c r="G11" s="16"/>
      <c r="H11" s="2"/>
      <c r="I11" s="50" t="s">
        <v>79</v>
      </c>
      <c r="J11" s="3" t="s">
        <v>80</v>
      </c>
      <c r="K11" s="3"/>
      <c r="L11" s="50" t="s">
        <v>81</v>
      </c>
      <c r="M11" s="3" t="s">
        <v>82</v>
      </c>
      <c r="N11" s="50" t="s">
        <v>83</v>
      </c>
      <c r="O11" s="3" t="s">
        <v>84</v>
      </c>
      <c r="P11" s="2"/>
      <c r="Q11" s="2"/>
      <c r="R11" s="2"/>
      <c r="S11" s="9"/>
      <c r="T11" s="2"/>
      <c r="U11" s="48" t="s">
        <v>41</v>
      </c>
      <c r="V11" s="27">
        <v>46028</v>
      </c>
      <c r="W11" s="1" t="s">
        <v>31</v>
      </c>
      <c r="X11" s="1" t="s">
        <v>37</v>
      </c>
      <c r="Y11" s="1">
        <v>23</v>
      </c>
      <c r="Z11" s="28">
        <v>46087</v>
      </c>
      <c r="AA11" s="29">
        <v>101</v>
      </c>
      <c r="AB11" s="1">
        <v>221</v>
      </c>
      <c r="AC11" s="1">
        <v>35</v>
      </c>
      <c r="AD11" s="1">
        <v>186</v>
      </c>
      <c r="AF11" s="26" t="s">
        <v>40</v>
      </c>
      <c r="AG11" s="27">
        <v>46028</v>
      </c>
      <c r="AH11" s="1" t="s">
        <v>55</v>
      </c>
      <c r="AI11" s="1">
        <v>40</v>
      </c>
      <c r="AJ11" s="1">
        <v>23</v>
      </c>
      <c r="AK11" s="1">
        <v>23</v>
      </c>
    </row>
    <row r="12" spans="2:37" ht="15" thickBot="1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9"/>
      <c r="T12" s="2"/>
      <c r="U12" s="48" t="s">
        <v>42</v>
      </c>
      <c r="V12" s="27">
        <v>46028</v>
      </c>
      <c r="W12" s="1" t="s">
        <v>32</v>
      </c>
      <c r="X12" s="1" t="s">
        <v>38</v>
      </c>
      <c r="Y12" s="1">
        <v>21</v>
      </c>
      <c r="Z12" s="28">
        <v>46088</v>
      </c>
      <c r="AA12" s="29">
        <v>102</v>
      </c>
      <c r="AB12" s="1">
        <v>234</v>
      </c>
      <c r="AC12" s="1">
        <v>32</v>
      </c>
      <c r="AD12" s="1">
        <v>202</v>
      </c>
      <c r="AF12" s="26" t="s">
        <v>43</v>
      </c>
      <c r="AG12" s="27">
        <v>46028</v>
      </c>
      <c r="AH12" s="1" t="s">
        <v>55</v>
      </c>
      <c r="AI12" s="1">
        <v>20</v>
      </c>
      <c r="AJ12" s="1">
        <v>45</v>
      </c>
      <c r="AK12" s="1">
        <v>45</v>
      </c>
    </row>
    <row r="13" spans="2:37" ht="15" thickBot="1">
      <c r="B13" s="8"/>
      <c r="C13" s="17"/>
      <c r="D13" s="14" t="s">
        <v>51</v>
      </c>
      <c r="E13" s="18"/>
      <c r="F13" s="32"/>
      <c r="G13" s="21" t="s">
        <v>8</v>
      </c>
      <c r="H13" s="21"/>
      <c r="I13" s="18" t="s">
        <v>52</v>
      </c>
      <c r="J13" s="18"/>
      <c r="K13" s="18" t="s">
        <v>11</v>
      </c>
      <c r="L13" s="18"/>
      <c r="M13" s="18"/>
      <c r="N13" s="18"/>
      <c r="O13" s="18" t="s">
        <v>18</v>
      </c>
      <c r="P13" s="18"/>
      <c r="Q13" s="18" t="s">
        <v>19</v>
      </c>
      <c r="R13" s="19"/>
      <c r="S13" s="9"/>
      <c r="T13" s="2"/>
      <c r="AF13" s="26" t="s">
        <v>39</v>
      </c>
      <c r="AG13" s="27">
        <v>46028</v>
      </c>
      <c r="AH13" s="1" t="s">
        <v>55</v>
      </c>
      <c r="AI13" s="1">
        <v>30</v>
      </c>
      <c r="AJ13" s="1">
        <v>43</v>
      </c>
      <c r="AK13" s="1">
        <v>43</v>
      </c>
    </row>
    <row r="14" spans="2:37" ht="15" thickBot="1">
      <c r="B14" s="8"/>
      <c r="C14" s="8"/>
      <c r="D14" s="1" t="str">
        <f>_xlfn.XLOOKUP(M6,AF9:AF15,AH9:AH15)</f>
        <v>Rice</v>
      </c>
      <c r="E14" s="2"/>
      <c r="F14" s="30"/>
      <c r="G14" s="31">
        <f>_xlfn.XLOOKUP(M6,AF9:AF15,AI9:AI15)</f>
        <v>30</v>
      </c>
      <c r="H14" s="15"/>
      <c r="I14" s="20">
        <f>_xlfn.XLOOKUP(M6,AF9:AF15,AJ9:AJ15)</f>
        <v>32</v>
      </c>
      <c r="J14" s="2"/>
      <c r="K14" s="20">
        <f>_xlfn.XLOOKUP(M6,AF9:AF15,AK9:AK15)</f>
        <v>31</v>
      </c>
      <c r="L14" s="2"/>
      <c r="M14" s="2"/>
      <c r="N14" s="2"/>
      <c r="O14" s="3"/>
      <c r="P14" s="2"/>
      <c r="Q14" s="2"/>
      <c r="R14" s="9"/>
      <c r="S14" s="9"/>
      <c r="T14" s="2"/>
      <c r="AF14" s="26" t="s">
        <v>41</v>
      </c>
      <c r="AG14" s="27">
        <v>46028</v>
      </c>
      <c r="AH14" s="1" t="s">
        <v>57</v>
      </c>
      <c r="AI14" s="1">
        <v>40</v>
      </c>
      <c r="AJ14" s="1">
        <v>34</v>
      </c>
      <c r="AK14" s="1">
        <v>33</v>
      </c>
    </row>
    <row r="15" spans="2:37">
      <c r="B15" s="8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9"/>
      <c r="S15" s="9"/>
      <c r="T15" s="2"/>
      <c r="AF15" s="26" t="s">
        <v>42</v>
      </c>
      <c r="AG15" s="27">
        <v>46028</v>
      </c>
      <c r="AH15" s="1" t="s">
        <v>58</v>
      </c>
      <c r="AI15" s="1">
        <v>30</v>
      </c>
      <c r="AJ15" s="1">
        <v>32</v>
      </c>
      <c r="AK15" s="1">
        <v>31</v>
      </c>
    </row>
    <row r="16" spans="2:37">
      <c r="B16" s="8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9"/>
      <c r="S16" s="9"/>
      <c r="T16" s="2"/>
      <c r="X16">
        <f>V19</f>
        <v>0</v>
      </c>
      <c r="AF16" s="2"/>
      <c r="AG16" s="35"/>
      <c r="AH16" s="2"/>
    </row>
    <row r="17" spans="2:34">
      <c r="B17" s="8"/>
      <c r="C17" s="8"/>
      <c r="D17" s="2"/>
      <c r="E17" s="3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9"/>
      <c r="S17" s="9"/>
      <c r="T17" s="2"/>
      <c r="AF17" s="2"/>
      <c r="AG17" s="35"/>
      <c r="AH17" s="2"/>
    </row>
    <row r="18" spans="2:34">
      <c r="B18" s="8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9"/>
      <c r="S18" s="9"/>
      <c r="T18" s="2"/>
      <c r="AF18" s="2"/>
      <c r="AG18" s="2"/>
      <c r="AH18" s="2"/>
    </row>
    <row r="19" spans="2:34" ht="15" thickBot="1">
      <c r="B19" s="8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9"/>
      <c r="S19" s="9"/>
      <c r="T19" s="2"/>
    </row>
    <row r="20" spans="2:34" ht="15" thickBot="1">
      <c r="B20" s="8"/>
      <c r="C20" s="17"/>
      <c r="D20" s="18"/>
      <c r="E20" s="18"/>
      <c r="F20" s="18"/>
      <c r="G20" s="18"/>
      <c r="H20" s="18"/>
      <c r="I20" s="22" t="s">
        <v>20</v>
      </c>
      <c r="J20" s="18"/>
      <c r="K20" s="22"/>
      <c r="L20" s="18"/>
      <c r="M20" s="18">
        <v>0</v>
      </c>
      <c r="N20" s="18"/>
      <c r="O20" s="18"/>
      <c r="P20" s="18"/>
      <c r="Q20" s="18"/>
      <c r="R20" s="19"/>
      <c r="S20" s="51"/>
      <c r="T20" s="52"/>
      <c r="V20" s="34" t="s">
        <v>61</v>
      </c>
    </row>
    <row r="21" spans="2:34" ht="15" thickBot="1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  <c r="T21" s="2"/>
      <c r="V21" s="1" t="s">
        <v>60</v>
      </c>
      <c r="W21" s="1" t="s">
        <v>67</v>
      </c>
      <c r="X21" s="1"/>
      <c r="AB21" s="1" t="s">
        <v>62</v>
      </c>
      <c r="AD21" s="3" t="s">
        <v>86</v>
      </c>
    </row>
    <row r="22" spans="2:34" ht="15" thickBot="1"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9"/>
      <c r="T22" s="2"/>
      <c r="V22" s="23" t="s">
        <v>13</v>
      </c>
      <c r="W22" s="40">
        <v>0.1</v>
      </c>
      <c r="X22" s="1"/>
      <c r="AB22" s="1" t="s">
        <v>63</v>
      </c>
      <c r="AD22" s="42" t="s">
        <v>76</v>
      </c>
      <c r="AE22" s="16"/>
    </row>
    <row r="23" spans="2:34" ht="15" thickBot="1">
      <c r="B23" s="8"/>
      <c r="C23" s="17"/>
      <c r="D23" s="14" t="s">
        <v>12</v>
      </c>
      <c r="E23" s="21" t="s">
        <v>16</v>
      </c>
      <c r="F23" s="21"/>
      <c r="G23" s="21"/>
      <c r="H23" s="21"/>
      <c r="I23" s="18" t="s">
        <v>17</v>
      </c>
      <c r="J23" s="18"/>
      <c r="K23" s="18" t="s">
        <v>15</v>
      </c>
      <c r="L23" s="18"/>
      <c r="M23" s="18" t="s">
        <v>66</v>
      </c>
      <c r="N23" s="18"/>
      <c r="O23" s="18" t="s">
        <v>18</v>
      </c>
      <c r="P23" s="18"/>
      <c r="Q23" s="18" t="s">
        <v>19</v>
      </c>
      <c r="R23" s="19"/>
      <c r="S23" s="9"/>
      <c r="T23" s="2"/>
      <c r="V23" s="1" t="s">
        <v>14</v>
      </c>
      <c r="W23" s="40">
        <v>0.05</v>
      </c>
      <c r="X23" s="1"/>
      <c r="AB23" s="1" t="s">
        <v>64</v>
      </c>
      <c r="AD23" s="43" t="s">
        <v>78</v>
      </c>
      <c r="AE23" s="44"/>
    </row>
    <row r="24" spans="2:34" ht="15" thickBot="1">
      <c r="B24" s="8"/>
      <c r="C24" s="8"/>
      <c r="D24" s="1" t="s">
        <v>14</v>
      </c>
      <c r="E24" s="38" t="s">
        <v>64</v>
      </c>
      <c r="F24" s="38"/>
      <c r="G24" s="39"/>
      <c r="H24" s="15"/>
      <c r="I24" s="36">
        <f>_xlfn.XLOOKUP(D24,V22:V23,W22:W23)</f>
        <v>0.05</v>
      </c>
      <c r="J24" s="2"/>
      <c r="K24" s="37">
        <v>5</v>
      </c>
      <c r="L24" s="2"/>
      <c r="M24" s="20">
        <f>K14*I24</f>
        <v>1.55</v>
      </c>
      <c r="N24" s="2"/>
      <c r="O24" s="20"/>
      <c r="P24" s="2"/>
      <c r="Q24" s="2"/>
      <c r="R24" s="9"/>
      <c r="S24" s="9"/>
      <c r="T24" s="2"/>
      <c r="V24" s="1"/>
      <c r="AB24" s="1" t="s">
        <v>65</v>
      </c>
      <c r="AD24" s="43" t="s">
        <v>80</v>
      </c>
      <c r="AE24" s="44"/>
    </row>
    <row r="25" spans="2:34" ht="15" thickBot="1">
      <c r="B25" s="8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9"/>
      <c r="S25" s="9"/>
      <c r="T25" s="2"/>
      <c r="AD25" s="42" t="s">
        <v>82</v>
      </c>
      <c r="AE25" s="16"/>
    </row>
    <row r="26" spans="2:34" ht="15" thickBot="1">
      <c r="B26" s="8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9"/>
      <c r="S26" s="9"/>
      <c r="T26" s="2"/>
      <c r="AD26" s="42" t="s">
        <v>84</v>
      </c>
      <c r="AE26" s="16"/>
    </row>
    <row r="27" spans="2:34">
      <c r="B27" s="8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9"/>
      <c r="S27" s="9"/>
      <c r="T27" s="2"/>
    </row>
    <row r="28" spans="2:34">
      <c r="B28" s="8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9"/>
      <c r="S28" s="9"/>
      <c r="T28" s="2"/>
    </row>
    <row r="29" spans="2:34" ht="15" thickBot="1">
      <c r="B29" s="8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9"/>
      <c r="S29" s="9"/>
      <c r="T29" s="2"/>
    </row>
    <row r="30" spans="2:34" ht="15" thickBot="1">
      <c r="B30" s="8"/>
      <c r="C30" s="17"/>
      <c r="D30" s="18"/>
      <c r="E30" s="18"/>
      <c r="F30" s="18"/>
      <c r="G30" s="18"/>
      <c r="H30" s="18"/>
      <c r="I30" s="22" t="s">
        <v>20</v>
      </c>
      <c r="J30" s="18"/>
      <c r="K30" s="22"/>
      <c r="L30" s="18"/>
      <c r="M30" s="18">
        <f>SUM(M24:M29)</f>
        <v>1.55</v>
      </c>
      <c r="N30" s="18"/>
      <c r="O30" s="18"/>
      <c r="P30" s="18"/>
      <c r="Q30" s="18"/>
      <c r="R30" s="19"/>
      <c r="S30" s="9"/>
      <c r="T30" s="2"/>
    </row>
    <row r="31" spans="2:34"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9"/>
      <c r="T31" s="2"/>
    </row>
    <row r="32" spans="2:34">
      <c r="B32" s="8"/>
      <c r="C32" s="2"/>
      <c r="D32" s="2" t="s">
        <v>68</v>
      </c>
      <c r="E32" s="1">
        <f>K14</f>
        <v>31</v>
      </c>
      <c r="F32" s="2"/>
      <c r="G32" s="2" t="s">
        <v>69</v>
      </c>
      <c r="H32" s="2"/>
      <c r="I32" s="1">
        <f>M24</f>
        <v>1.55</v>
      </c>
      <c r="J32" s="2"/>
      <c r="K32" s="2" t="s">
        <v>70</v>
      </c>
      <c r="L32" s="2"/>
      <c r="M32" s="1">
        <f>E32-I32</f>
        <v>29.45</v>
      </c>
      <c r="N32" s="2"/>
      <c r="O32" s="2"/>
      <c r="P32" s="2"/>
      <c r="Q32" s="2"/>
      <c r="R32" s="2"/>
      <c r="S32" s="9"/>
      <c r="T32" s="2"/>
    </row>
    <row r="33" spans="2:30" ht="15" thickBot="1"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9"/>
      <c r="T33" s="2"/>
    </row>
    <row r="34" spans="2:30">
      <c r="B34" s="8"/>
      <c r="C34" s="2"/>
      <c r="D34" s="2" t="s">
        <v>85</v>
      </c>
      <c r="E34" s="1" t="s">
        <v>84</v>
      </c>
      <c r="F34" s="2"/>
      <c r="G34" s="2" t="s">
        <v>96</v>
      </c>
      <c r="H34" s="2"/>
      <c r="I34" s="5"/>
      <c r="J34" s="6"/>
      <c r="K34" s="6"/>
      <c r="L34" s="6"/>
      <c r="M34" s="6"/>
      <c r="N34" s="6"/>
      <c r="O34" s="6"/>
      <c r="P34" s="6"/>
      <c r="Q34" s="6"/>
      <c r="R34" s="7"/>
      <c r="S34" s="9"/>
      <c r="T34" s="2"/>
      <c r="V34" s="24" t="s">
        <v>73</v>
      </c>
      <c r="Y34" s="24" t="s">
        <v>104</v>
      </c>
      <c r="AB34" s="24" t="s">
        <v>105</v>
      </c>
    </row>
    <row r="35" spans="2:30" ht="15" thickBot="1">
      <c r="B35" s="8"/>
      <c r="C35" s="2"/>
      <c r="D35" s="2"/>
      <c r="E35" s="2"/>
      <c r="F35" s="2"/>
      <c r="G35" s="2"/>
      <c r="H35" s="2"/>
      <c r="I35" s="10"/>
      <c r="J35" s="11"/>
      <c r="K35" s="11"/>
      <c r="L35" s="11"/>
      <c r="M35" s="11"/>
      <c r="N35" s="11"/>
      <c r="O35" s="11"/>
      <c r="P35" s="11"/>
      <c r="Q35" s="11"/>
      <c r="R35" s="13"/>
      <c r="S35" s="9"/>
      <c r="T35" s="2"/>
      <c r="V35" s="1" t="s">
        <v>74</v>
      </c>
      <c r="W35" s="1" t="s">
        <v>98</v>
      </c>
      <c r="Y35" s="1" t="s">
        <v>74</v>
      </c>
      <c r="Z35" s="1" t="s">
        <v>98</v>
      </c>
      <c r="AB35" s="1" t="s">
        <v>74</v>
      </c>
      <c r="AC35" s="1" t="s">
        <v>98</v>
      </c>
    </row>
    <row r="36" spans="2:30"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9"/>
      <c r="T36" s="2"/>
      <c r="V36" s="1" t="s">
        <v>75</v>
      </c>
      <c r="W36" s="1" t="s">
        <v>99</v>
      </c>
      <c r="Y36" s="1" t="s">
        <v>75</v>
      </c>
      <c r="Z36" s="1" t="s">
        <v>99</v>
      </c>
      <c r="AB36" s="1" t="s">
        <v>75</v>
      </c>
      <c r="AC36" s="1" t="s">
        <v>99</v>
      </c>
    </row>
    <row r="37" spans="2:30" ht="15" thickBot="1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3"/>
      <c r="T37" s="2"/>
      <c r="V37" s="1" t="s">
        <v>87</v>
      </c>
      <c r="W37" s="1" t="s">
        <v>100</v>
      </c>
      <c r="Y37" s="1" t="s">
        <v>59</v>
      </c>
      <c r="Z37" s="1" t="s">
        <v>100</v>
      </c>
      <c r="AA37" s="45" t="s">
        <v>118</v>
      </c>
      <c r="AB37" s="1" t="s">
        <v>116</v>
      </c>
      <c r="AC37" s="1" t="s">
        <v>100</v>
      </c>
      <c r="AD37" s="45" t="s">
        <v>118</v>
      </c>
    </row>
    <row r="38" spans="2:30">
      <c r="V38" s="1" t="s">
        <v>88</v>
      </c>
      <c r="W38" s="1" t="s">
        <v>101</v>
      </c>
      <c r="Y38" s="1" t="s">
        <v>8</v>
      </c>
      <c r="Z38" s="1" t="s">
        <v>101</v>
      </c>
      <c r="AB38" s="1" t="s">
        <v>117</v>
      </c>
      <c r="AC38" s="1" t="s">
        <v>100</v>
      </c>
      <c r="AD38" s="45" t="s">
        <v>118</v>
      </c>
    </row>
    <row r="39" spans="2:30">
      <c r="V39" s="1" t="s">
        <v>89</v>
      </c>
      <c r="W39" s="1" t="s">
        <v>101</v>
      </c>
      <c r="Y39" s="1" t="s">
        <v>106</v>
      </c>
      <c r="Z39" s="1" t="s">
        <v>101</v>
      </c>
      <c r="AB39" s="1" t="s">
        <v>119</v>
      </c>
      <c r="AC39" s="1" t="s">
        <v>101</v>
      </c>
    </row>
    <row r="40" spans="2:30">
      <c r="V40" s="1" t="s">
        <v>90</v>
      </c>
      <c r="W40" s="1" t="s">
        <v>101</v>
      </c>
      <c r="Y40" s="1" t="s">
        <v>88</v>
      </c>
      <c r="Z40" s="1" t="s">
        <v>120</v>
      </c>
      <c r="AB40" s="1" t="s">
        <v>121</v>
      </c>
      <c r="AC40" s="1" t="s">
        <v>101</v>
      </c>
    </row>
    <row r="41" spans="2:30">
      <c r="V41" s="1" t="s">
        <v>91</v>
      </c>
      <c r="W41" s="1" t="s">
        <v>0</v>
      </c>
      <c r="Y41" s="1" t="s">
        <v>18</v>
      </c>
      <c r="Z41" s="1" t="s">
        <v>103</v>
      </c>
      <c r="AB41" s="1" t="s">
        <v>18</v>
      </c>
      <c r="AC41" s="1" t="s">
        <v>122</v>
      </c>
    </row>
    <row r="42" spans="2:30">
      <c r="V42" s="1" t="s">
        <v>92</v>
      </c>
      <c r="W42" s="1" t="s">
        <v>102</v>
      </c>
      <c r="Y42" s="1" t="s">
        <v>107</v>
      </c>
      <c r="Z42" s="1"/>
      <c r="AB42" s="1"/>
      <c r="AC42" s="1"/>
    </row>
    <row r="43" spans="2:30">
      <c r="V43" s="1" t="s">
        <v>115</v>
      </c>
      <c r="W43" s="1" t="s">
        <v>114</v>
      </c>
      <c r="Y43" s="1" t="s">
        <v>108</v>
      </c>
      <c r="Z43" s="1"/>
      <c r="AB43" s="1"/>
      <c r="AC43" s="1"/>
    </row>
    <row r="44" spans="2:30">
      <c r="V44" s="1" t="s">
        <v>93</v>
      </c>
      <c r="W44" s="1" t="s">
        <v>102</v>
      </c>
      <c r="Y44" s="1" t="s">
        <v>109</v>
      </c>
      <c r="Z44" s="1"/>
      <c r="AB44" s="1"/>
      <c r="AC44" s="1"/>
    </row>
    <row r="45" spans="2:30">
      <c r="V45" s="1" t="s">
        <v>111</v>
      </c>
      <c r="W45" s="45" t="s">
        <v>114</v>
      </c>
      <c r="Y45" s="1" t="s">
        <v>110</v>
      </c>
      <c r="Z45" s="1"/>
      <c r="AB45" s="1"/>
      <c r="AC45" s="1"/>
    </row>
    <row r="46" spans="2:30">
      <c r="V46" s="1" t="s">
        <v>94</v>
      </c>
      <c r="W46" s="1" t="s">
        <v>102</v>
      </c>
      <c r="Y46" s="1"/>
      <c r="Z46" s="1"/>
      <c r="AB46" s="1"/>
      <c r="AC46" s="1"/>
    </row>
    <row r="47" spans="2:30">
      <c r="V47" s="45" t="s">
        <v>112</v>
      </c>
      <c r="W47" s="45" t="s">
        <v>114</v>
      </c>
    </row>
    <row r="48" spans="2:30">
      <c r="V48" s="1" t="s">
        <v>95</v>
      </c>
      <c r="W48" s="1" t="s">
        <v>102</v>
      </c>
    </row>
    <row r="49" spans="22:23">
      <c r="V49" s="45" t="s">
        <v>113</v>
      </c>
      <c r="W49" s="45" t="s">
        <v>114</v>
      </c>
    </row>
    <row r="50" spans="22:23">
      <c r="V50" s="1" t="s">
        <v>97</v>
      </c>
      <c r="W50" s="1" t="s">
        <v>103</v>
      </c>
    </row>
  </sheetData>
  <phoneticPr fontId="3" type="noConversion"/>
  <dataValidations count="4">
    <dataValidation type="list" allowBlank="1" showInputMessage="1" showErrorMessage="1" sqref="D14" xr:uid="{110DA07E-9B35-494A-BAF8-7E1D6A32DCAE}">
      <formula1>_xlfn.UNIQUE($AH$9:$AH$15)</formula1>
    </dataValidation>
    <dataValidation type="list" allowBlank="1" showInputMessage="1" showErrorMessage="1" sqref="D24" xr:uid="{077ED9E7-CE5D-4B53-AF1C-86122EFA9553}">
      <formula1>$V$22:$V$24</formula1>
    </dataValidation>
    <dataValidation type="list" allowBlank="1" showInputMessage="1" showErrorMessage="1" sqref="E24:G24" xr:uid="{4D08FBCD-E2D6-4F83-BE2C-6C10E6655BC7}">
      <formula1>$AB$22:$AB$24</formula1>
    </dataValidation>
    <dataValidation type="list" allowBlank="1" showInputMessage="1" showErrorMessage="1" sqref="E34" xr:uid="{F0762CC4-8F92-4460-B686-AD22D8BC4A67}">
      <formula1>$AD$22:$AD$26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9" r:id="rId3" name="ComboBox1">
          <controlPr defaultSize="0" autoLine="0" autoPict="0" linkedCell="M6" listFillRange="U6:AD12" r:id="rId4">
            <anchor moveWithCells="1">
              <from>
                <xdr:col>12</xdr:col>
                <xdr:colOff>15240</xdr:colOff>
                <xdr:row>4</xdr:row>
                <xdr:rowOff>175260</xdr:rowOff>
              </from>
              <to>
                <xdr:col>13</xdr:col>
                <xdr:colOff>0</xdr:colOff>
                <xdr:row>6</xdr:row>
                <xdr:rowOff>15240</xdr:rowOff>
              </to>
            </anchor>
          </controlPr>
        </control>
      </mc:Choice>
      <mc:Fallback>
        <control shapeId="1039" r:id="rId3" name="ComboBox1"/>
      </mc:Fallback>
    </mc:AlternateContent>
    <mc:AlternateContent xmlns:mc="http://schemas.openxmlformats.org/markup-compatibility/2006">
      <mc:Choice Requires="x14">
        <control shapeId="1026" r:id="rId5" name="ComboBox2">
          <controlPr defaultSize="0" autoLine="0" r:id="rId6">
            <anchor moveWithCells="1">
              <from>
                <xdr:col>12</xdr:col>
                <xdr:colOff>0</xdr:colOff>
                <xdr:row>6</xdr:row>
                <xdr:rowOff>7620</xdr:rowOff>
              </from>
              <to>
                <xdr:col>13</xdr:col>
                <xdr:colOff>22860</xdr:colOff>
                <xdr:row>7</xdr:row>
                <xdr:rowOff>15240</xdr:rowOff>
              </to>
            </anchor>
          </controlPr>
        </control>
      </mc:Choice>
      <mc:Fallback>
        <control shapeId="1026" r:id="rId5" name="ComboBox2"/>
      </mc:Fallback>
    </mc:AlternateContent>
    <mc:AlternateContent xmlns:mc="http://schemas.openxmlformats.org/markup-compatibility/2006">
      <mc:Choice Requires="x14">
        <control shapeId="1033" r:id="rId7" name="Button 9">
          <controlPr defaultSize="0" print="0" autoFill="0" autoPict="0" macro="[0]!Button9_Click">
            <anchor moveWithCells="1" sizeWithCells="1">
              <from>
                <xdr:col>16</xdr:col>
                <xdr:colOff>0</xdr:colOff>
                <xdr:row>23</xdr:row>
                <xdr:rowOff>0</xdr:rowOff>
              </from>
              <to>
                <xdr:col>16</xdr:col>
                <xdr:colOff>175260</xdr:colOff>
                <xdr:row>23</xdr:row>
                <xdr:rowOff>152400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7" r:id="rId8" name="Button 13">
          <controlPr defaultSize="0" print="0" autoFill="0" autoPict="0" macro="[0]!Button13_Click">
            <anchor moveWithCells="1" sizeWithCells="1">
              <from>
                <xdr:col>16</xdr:col>
                <xdr:colOff>403860</xdr:colOff>
                <xdr:row>23</xdr:row>
                <xdr:rowOff>15240</xdr:rowOff>
              </from>
              <to>
                <xdr:col>16</xdr:col>
                <xdr:colOff>556260</xdr:colOff>
                <xdr:row>23</xdr:row>
                <xdr:rowOff>182880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8" r:id="rId9" name="Spinner 14">
          <controlPr defaultSize="0" autoPict="0">
            <anchor moveWithCells="1" sizeWithCells="1">
              <from>
                <xdr:col>17</xdr:col>
                <xdr:colOff>45720</xdr:colOff>
                <xdr:row>23</xdr:row>
                <xdr:rowOff>38100</xdr:rowOff>
              </from>
              <to>
                <xdr:col>17</xdr:col>
                <xdr:colOff>220980</xdr:colOff>
                <xdr:row>28</xdr:row>
                <xdr:rowOff>152400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1" r:id="rId10" name="Button 17">
          <controlPr defaultSize="0" print="0" autoFill="0" autoPict="0" macro="[0]!Button9_Click">
            <anchor moveWithCells="1" sizeWithCells="1">
              <from>
                <xdr:col>16</xdr:col>
                <xdr:colOff>0</xdr:colOff>
                <xdr:row>13</xdr:row>
                <xdr:rowOff>0</xdr:rowOff>
              </from>
              <to>
                <xdr:col>16</xdr:col>
                <xdr:colOff>175260</xdr:colOff>
                <xdr:row>13</xdr:row>
                <xdr:rowOff>152400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11" name="Button 18">
          <controlPr defaultSize="0" print="0" autoFill="0" autoPict="0" macro="[0]!Button13_Click">
            <anchor moveWithCells="1" sizeWithCells="1">
              <from>
                <xdr:col>16</xdr:col>
                <xdr:colOff>403860</xdr:colOff>
                <xdr:row>13</xdr:row>
                <xdr:rowOff>15240</xdr:rowOff>
              </from>
              <to>
                <xdr:col>16</xdr:col>
                <xdr:colOff>556260</xdr:colOff>
                <xdr:row>13</xdr:row>
                <xdr:rowOff>182880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3" r:id="rId12" name="Spinner 19">
          <controlPr defaultSize="0" autoPict="0">
            <anchor moveWithCells="1" sizeWithCells="1">
              <from>
                <xdr:col>17</xdr:col>
                <xdr:colOff>45720</xdr:colOff>
                <xdr:row>13</xdr:row>
                <xdr:rowOff>38100</xdr:rowOff>
              </from>
              <to>
                <xdr:col>17</xdr:col>
                <xdr:colOff>220980</xdr:colOff>
                <xdr:row>18</xdr:row>
                <xdr:rowOff>152400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2026-06-22T11:35:44Z</dcterms:created>
  <dcterms:modified xsi:type="dcterms:W3CDTF">2026-06-24T16:42:48Z</dcterms:modified>
</cp:coreProperties>
</file>