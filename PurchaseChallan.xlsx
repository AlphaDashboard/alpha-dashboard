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rofit_demo\chetan\GRN\"/>
    </mc:Choice>
  </mc:AlternateContent>
  <xr:revisionPtr revIDLastSave="0" documentId="13_ncr:1_{0D8B4544-B5F7-4F64-8C5D-90CB475D5A56}" xr6:coauthVersionLast="47" xr6:coauthVersionMax="47" xr10:uidLastSave="{00000000-0000-0000-0000-000000000000}"/>
  <bookViews>
    <workbookView xWindow="-108" yWindow="-108" windowWidth="23256" windowHeight="12456" xr2:uid="{E01A45B5-7719-4730-83F1-41A466E3E0FA}"/>
  </bookViews>
  <sheets>
    <sheet name="RMP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8" i="1" l="1"/>
  <c r="V18" i="1"/>
  <c r="I8" i="1"/>
  <c r="K14" i="1"/>
  <c r="I14" i="1"/>
  <c r="G14" i="1"/>
  <c r="D14" i="1"/>
  <c r="I7" i="1"/>
  <c r="L7" i="1"/>
  <c r="Q7" i="1"/>
  <c r="E7" i="1"/>
  <c r="Q6" i="1"/>
</calcChain>
</file>

<file path=xl/sharedStrings.xml><?xml version="1.0" encoding="utf-8"?>
<sst xmlns="http://schemas.openxmlformats.org/spreadsheetml/2006/main" count="103" uniqueCount="78">
  <si>
    <t xml:space="preserve">Gate  Pass No </t>
  </si>
  <si>
    <t>Driver</t>
  </si>
  <si>
    <t>Vehicle</t>
  </si>
  <si>
    <t>Weighment Slip No.</t>
  </si>
  <si>
    <t>Weighment Date</t>
  </si>
  <si>
    <t>Bags</t>
  </si>
  <si>
    <t>Gross Weight</t>
  </si>
  <si>
    <t>Gate Pass Date</t>
  </si>
  <si>
    <t>Net Weight</t>
  </si>
  <si>
    <t>Remarks</t>
  </si>
  <si>
    <t>Action</t>
  </si>
  <si>
    <t>Total</t>
  </si>
  <si>
    <t>GatePassNo</t>
  </si>
  <si>
    <t>GatePassdate</t>
  </si>
  <si>
    <t>VehicleNo</t>
  </si>
  <si>
    <t>DriverName</t>
  </si>
  <si>
    <t>KA01/1234</t>
  </si>
  <si>
    <t>Ram</t>
  </si>
  <si>
    <t>KA00/1234</t>
  </si>
  <si>
    <t>HR09</t>
  </si>
  <si>
    <t>DL06</t>
  </si>
  <si>
    <t>PB25/2300</t>
  </si>
  <si>
    <t>KA00/098</t>
  </si>
  <si>
    <t>KL03/234</t>
  </si>
  <si>
    <t>Shyam</t>
  </si>
  <si>
    <t>Mohan</t>
  </si>
  <si>
    <t>Kamal</t>
  </si>
  <si>
    <t>Aman</t>
  </si>
  <si>
    <t>Raman</t>
  </si>
  <si>
    <t>Kamat</t>
  </si>
  <si>
    <t>5</t>
  </si>
  <si>
    <t>3</t>
  </si>
  <si>
    <t>6</t>
  </si>
  <si>
    <t>7</t>
  </si>
  <si>
    <t>4</t>
  </si>
  <si>
    <t>2</t>
  </si>
  <si>
    <t>tblGatePass</t>
  </si>
  <si>
    <t>WeighmentNo</t>
  </si>
  <si>
    <t>WeighmentDate</t>
  </si>
  <si>
    <t>GrossWeight</t>
  </si>
  <si>
    <t>TareWeight</t>
  </si>
  <si>
    <t>NetWeight</t>
  </si>
  <si>
    <t>Materials</t>
  </si>
  <si>
    <t>Gross weight</t>
  </si>
  <si>
    <t>tblGatePass_Tran</t>
  </si>
  <si>
    <t>FatePassDate</t>
  </si>
  <si>
    <t>Wheat</t>
  </si>
  <si>
    <t>Maize</t>
  </si>
  <si>
    <t>Gram</t>
  </si>
  <si>
    <t>Rice</t>
  </si>
  <si>
    <t>MaterialID</t>
  </si>
  <si>
    <t>Autogenerated</t>
  </si>
  <si>
    <t>Draft</t>
  </si>
  <si>
    <t>-----------------</t>
  </si>
  <si>
    <t>Submitted for approval</t>
  </si>
  <si>
    <t>-------------------</t>
  </si>
  <si>
    <t>Referred Back</t>
  </si>
  <si>
    <t>-----</t>
  </si>
  <si>
    <t>Approved</t>
  </si>
  <si>
    <t>---</t>
  </si>
  <si>
    <t>Released</t>
  </si>
  <si>
    <t>Status</t>
  </si>
  <si>
    <t>Netweight</t>
  </si>
  <si>
    <t>Purchase Challan</t>
  </si>
  <si>
    <t>Challan No</t>
  </si>
  <si>
    <t>Challan date</t>
  </si>
  <si>
    <t>PO #</t>
  </si>
  <si>
    <t>PO Date</t>
  </si>
  <si>
    <t>Notes</t>
  </si>
  <si>
    <t>tblSalePurchaseChallans</t>
  </si>
  <si>
    <t>ChallanDate</t>
  </si>
  <si>
    <t>TranType</t>
  </si>
  <si>
    <t>RMPCH</t>
  </si>
  <si>
    <t>GPNo</t>
  </si>
  <si>
    <t>Statusid</t>
  </si>
  <si>
    <t>PONO</t>
  </si>
  <si>
    <t>PODate</t>
  </si>
  <si>
    <t>tblSalePurchaseChallans_Tran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</si>
</sst>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4" xfId="0" applyFill="1" applyBorder="1"/>
    <xf numFmtId="0" fontId="0" fillId="0" borderId="13" xfId="0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0" borderId="14" xfId="0" applyBorder="1"/>
    <xf numFmtId="0" fontId="0" fillId="2" borderId="12" xfId="0" applyFill="1" applyBorder="1" applyAlignment="1">
      <alignment horizontal="center"/>
    </xf>
    <xf numFmtId="0" fontId="0" fillId="2" borderId="12" xfId="0" applyFill="1" applyBorder="1" applyAlignment="1">
      <alignment horizontal="right"/>
    </xf>
    <xf numFmtId="0" fontId="0" fillId="0" borderId="15" xfId="0" applyBorder="1"/>
    <xf numFmtId="164" fontId="0" fillId="0" borderId="2" xfId="0" applyNumberFormat="1" applyBorder="1"/>
    <xf numFmtId="49" fontId="0" fillId="0" borderId="1" xfId="0" quotePrefix="1" applyNumberFormat="1" applyBorder="1"/>
    <xf numFmtId="14" fontId="0" fillId="0" borderId="1" xfId="0" applyNumberFormat="1" applyBorder="1"/>
    <xf numFmtId="15" fontId="0" fillId="0" borderId="1" xfId="0" applyNumberFormat="1" applyBorder="1"/>
    <xf numFmtId="1" fontId="0" fillId="0" borderId="1" xfId="0" applyNumberFormat="1" applyBorder="1"/>
    <xf numFmtId="14" fontId="0" fillId="0" borderId="0" xfId="0" applyNumberFormat="1"/>
    <xf numFmtId="9" fontId="0" fillId="0" borderId="1" xfId="1" quotePrefix="1" applyFont="1" applyBorder="1"/>
    <xf numFmtId="0" fontId="0" fillId="0" borderId="11" xfId="0" applyBorder="1"/>
    <xf numFmtId="0" fontId="4" fillId="0" borderId="7" xfId="0" applyFont="1" applyBorder="1" applyAlignment="1">
      <alignment vertical="center"/>
    </xf>
    <xf numFmtId="0" fontId="4" fillId="0" borderId="0" xfId="0" applyFont="1" applyAlignment="1">
      <alignment vertical="center"/>
    </xf>
    <xf numFmtId="49" fontId="0" fillId="0" borderId="18" xfId="0" quotePrefix="1" applyNumberFormat="1" applyBorder="1"/>
    <xf numFmtId="0" fontId="0" fillId="0" borderId="19" xfId="0" applyBorder="1"/>
    <xf numFmtId="49" fontId="0" fillId="0" borderId="20" xfId="0" quotePrefix="1" applyNumberFormat="1" applyBorder="1"/>
    <xf numFmtId="14" fontId="0" fillId="0" borderId="21" xfId="0" applyNumberFormat="1" applyBorder="1"/>
    <xf numFmtId="0" fontId="0" fillId="0" borderId="21" xfId="0" applyBorder="1"/>
    <xf numFmtId="15" fontId="0" fillId="0" borderId="21" xfId="0" applyNumberFormat="1" applyBorder="1"/>
    <xf numFmtId="1" fontId="0" fillId="0" borderId="21" xfId="0" applyNumberFormat="1" applyBorder="1"/>
    <xf numFmtId="0" fontId="0" fillId="0" borderId="22" xfId="0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0" fontId="0" fillId="3" borderId="0" xfId="0" applyFill="1" applyBorder="1" applyAlignment="1">
      <alignment horizontal="right"/>
    </xf>
    <xf numFmtId="0" fontId="0" fillId="0" borderId="0" xfId="0" applyBorder="1"/>
    <xf numFmtId="0" fontId="0" fillId="2" borderId="16" xfId="0" applyFill="1" applyBorder="1"/>
    <xf numFmtId="0" fontId="0" fillId="2" borderId="17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5" xfId="0" applyFill="1" applyBorder="1"/>
    <xf numFmtId="2" fontId="0" fillId="2" borderId="23" xfId="0" applyNumberFormat="1" applyFill="1" applyBorder="1"/>
    <xf numFmtId="2" fontId="0" fillId="2" borderId="1" xfId="0" applyNumberFormat="1" applyFill="1" applyBorder="1"/>
    <xf numFmtId="0" fontId="0" fillId="0" borderId="6" xfId="0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Border="1" applyAlignment="1">
      <alignment horizontal="center" vertical="top"/>
    </xf>
    <xf numFmtId="0" fontId="0" fillId="0" borderId="0" xfId="0" quotePrefix="1" applyBorder="1"/>
    <xf numFmtId="0" fontId="0" fillId="3" borderId="9" xfId="0" applyFill="1" applyBorder="1"/>
    <xf numFmtId="22" fontId="0" fillId="0" borderId="1" xfId="0" applyNumberFormat="1" applyBorder="1"/>
    <xf numFmtId="0" fontId="0" fillId="0" borderId="24" xfId="0" applyBorder="1"/>
    <xf numFmtId="0" fontId="0" fillId="0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Spin" dx="26" max="30000" page="10" val="2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10886</xdr:colOff>
          <xdr:row>6</xdr:row>
          <xdr:rowOff>7621</xdr:rowOff>
        </xdr:from>
        <xdr:to>
          <xdr:col>13</xdr:col>
          <xdr:colOff>22860</xdr:colOff>
          <xdr:row>7</xdr:row>
          <xdr:rowOff>65314</xdr:rowOff>
        </xdr:to>
        <xdr:sp macro="" textlink="">
          <xdr:nvSpPr>
            <xdr:cNvPr id="1026" name="ComboBox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21772</xdr:colOff>
          <xdr:row>4</xdr:row>
          <xdr:rowOff>175260</xdr:rowOff>
        </xdr:from>
        <xdr:to>
          <xdr:col>13</xdr:col>
          <xdr:colOff>0</xdr:colOff>
          <xdr:row>6</xdr:row>
          <xdr:rowOff>0</xdr:rowOff>
        </xdr:to>
        <xdr:sp macro="" textlink="">
          <xdr:nvSpPr>
            <xdr:cNvPr id="1039" name="ComboBox1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13</xdr:row>
          <xdr:rowOff>0</xdr:rowOff>
        </xdr:from>
        <xdr:to>
          <xdr:col>16</xdr:col>
          <xdr:colOff>175260</xdr:colOff>
          <xdr:row>13</xdr:row>
          <xdr:rowOff>152400</xdr:rowOff>
        </xdr:to>
        <xdr:sp macro="" textlink="">
          <xdr:nvSpPr>
            <xdr:cNvPr id="1041" name="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+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403860</xdr:colOff>
          <xdr:row>13</xdr:row>
          <xdr:rowOff>15240</xdr:rowOff>
        </xdr:from>
        <xdr:to>
          <xdr:col>16</xdr:col>
          <xdr:colOff>556260</xdr:colOff>
          <xdr:row>13</xdr:row>
          <xdr:rowOff>182880</xdr:rowOff>
        </xdr:to>
        <xdr:sp macro="" textlink="">
          <xdr:nvSpPr>
            <xdr:cNvPr id="1042" name="Button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-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45720</xdr:colOff>
          <xdr:row>13</xdr:row>
          <xdr:rowOff>38100</xdr:rowOff>
        </xdr:from>
        <xdr:to>
          <xdr:col>18</xdr:col>
          <xdr:colOff>0</xdr:colOff>
          <xdr:row>23</xdr:row>
          <xdr:rowOff>0</xdr:rowOff>
        </xdr:to>
        <xdr:sp macro="" textlink="">
          <xdr:nvSpPr>
            <xdr:cNvPr id="1043" name="Spinner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7</xdr:row>
          <xdr:rowOff>7620</xdr:rowOff>
        </xdr:from>
        <xdr:to>
          <xdr:col>6</xdr:col>
          <xdr:colOff>7619</xdr:colOff>
          <xdr:row>8</xdr:row>
          <xdr:rowOff>65315</xdr:rowOff>
        </xdr:to>
        <xdr:sp macro="" textlink="">
          <xdr:nvSpPr>
            <xdr:cNvPr id="1044" name="ComboBox3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30518AD2-D629-4DAA-E109-5445A856FE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18506</xdr:colOff>
          <xdr:row>7</xdr:row>
          <xdr:rowOff>40277</xdr:rowOff>
        </xdr:from>
        <xdr:to>
          <xdr:col>13</xdr:col>
          <xdr:colOff>23949</xdr:colOff>
          <xdr:row>8</xdr:row>
          <xdr:rowOff>101237</xdr:rowOff>
        </xdr:to>
        <xdr:sp macro="" textlink="">
          <xdr:nvSpPr>
            <xdr:cNvPr id="1045" name="ComboBox4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3A456A60-BF10-76A9-1AE8-DF5B9BD8EB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3.xml"/><Relationship Id="rId12" Type="http://schemas.openxmlformats.org/officeDocument/2006/relationships/ctrlProp" Target="../ctrlProps/ctrlProp3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11" Type="http://schemas.openxmlformats.org/officeDocument/2006/relationships/ctrlProp" Target="../ctrlProps/ctrlProp2.xml"/><Relationship Id="rId5" Type="http://schemas.openxmlformats.org/officeDocument/2006/relationships/control" Target="../activeX/activeX2.xml"/><Relationship Id="rId10" Type="http://schemas.openxmlformats.org/officeDocument/2006/relationships/ctrlProp" Target="../ctrlProps/ctrlProp1.xml"/><Relationship Id="rId4" Type="http://schemas.openxmlformats.org/officeDocument/2006/relationships/image" Target="../media/image1.emf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947FE-A7C8-4CC5-B0E5-EF6441188BFD}">
  <sheetPr codeName="Sheet1"/>
  <dimension ref="A1:AK75"/>
  <sheetViews>
    <sheetView showGridLines="0" tabSelected="1" topLeftCell="A9" zoomScale="70" zoomScaleNormal="70" workbookViewId="0">
      <selection activeCell="K36" sqref="K36"/>
    </sheetView>
  </sheetViews>
  <sheetFormatPr defaultRowHeight="14.4"/>
  <cols>
    <col min="2" max="2" width="3.88671875" customWidth="1"/>
    <col min="3" max="3" width="3" customWidth="1"/>
    <col min="4" max="4" width="17.77734375" customWidth="1"/>
    <col min="5" max="5" width="13.44140625" customWidth="1"/>
    <col min="6" max="6" width="3" customWidth="1"/>
    <col min="7" max="7" width="16.5546875" customWidth="1"/>
    <col min="8" max="8" width="1.44140625" customWidth="1"/>
    <col min="9" max="9" width="15.21875" customWidth="1"/>
    <col min="10" max="10" width="1.33203125" customWidth="1"/>
    <col min="11" max="11" width="21.88671875" bestFit="1" customWidth="1"/>
    <col min="12" max="12" width="2.77734375" customWidth="1"/>
    <col min="13" max="13" width="13.44140625" customWidth="1"/>
    <col min="14" max="14" width="2.44140625" customWidth="1"/>
    <col min="15" max="15" width="15.109375" bestFit="1" customWidth="1"/>
    <col min="16" max="16" width="2.77734375" customWidth="1"/>
    <col min="17" max="17" width="12.6640625" bestFit="1" customWidth="1"/>
    <col min="18" max="18" width="3.6640625" customWidth="1"/>
    <col min="19" max="20" width="4" customWidth="1"/>
    <col min="21" max="21" width="23.33203125" bestFit="1" customWidth="1"/>
    <col min="22" max="22" width="16.44140625" bestFit="1" customWidth="1"/>
    <col min="23" max="23" width="18.6640625" bestFit="1" customWidth="1"/>
    <col min="24" max="24" width="18.21875" bestFit="1" customWidth="1"/>
    <col min="25" max="25" width="17.33203125" bestFit="1" customWidth="1"/>
    <col min="26" max="26" width="14.33203125" bestFit="1" customWidth="1"/>
    <col min="27" max="27" width="9.109375" bestFit="1" customWidth="1"/>
    <col min="28" max="28" width="17.33203125" bestFit="1" customWidth="1"/>
    <col min="29" max="29" width="13.109375" bestFit="1" customWidth="1"/>
    <col min="30" max="30" width="9.77734375" bestFit="1" customWidth="1"/>
    <col min="32" max="32" width="16.6640625" bestFit="1" customWidth="1"/>
    <col min="33" max="33" width="12" bestFit="1" customWidth="1"/>
    <col min="36" max="36" width="11.77734375" bestFit="1" customWidth="1"/>
    <col min="37" max="37" width="10.5546875" bestFit="1" customWidth="1"/>
  </cols>
  <sheetData>
    <row r="1" spans="2:37" ht="15" thickBot="1"/>
    <row r="2" spans="2:37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</row>
    <row r="3" spans="2:37">
      <c r="B3" s="6"/>
      <c r="C3" s="46"/>
      <c r="D3" s="56" t="s">
        <v>63</v>
      </c>
      <c r="E3" s="46"/>
      <c r="F3" s="46"/>
      <c r="G3" s="46"/>
      <c r="H3" s="46"/>
      <c r="I3" s="46"/>
      <c r="J3" s="46"/>
      <c r="K3" s="57"/>
      <c r="L3" s="46"/>
      <c r="M3" s="46"/>
      <c r="N3" s="46"/>
      <c r="O3" s="46"/>
      <c r="P3" s="46"/>
      <c r="Q3" s="46"/>
      <c r="R3" s="46"/>
      <c r="S3" s="7"/>
    </row>
    <row r="4" spans="2:37" ht="15" thickBot="1">
      <c r="B4" s="6"/>
      <c r="C4" s="46"/>
      <c r="D4" s="46"/>
      <c r="E4" s="46"/>
      <c r="F4" s="46"/>
      <c r="G4" s="46"/>
      <c r="H4" s="46"/>
      <c r="I4" s="46"/>
      <c r="J4" s="46"/>
      <c r="K4" s="57"/>
      <c r="L4" s="46"/>
      <c r="M4" s="46"/>
      <c r="N4" s="46"/>
      <c r="O4" s="46"/>
      <c r="P4" s="46"/>
      <c r="Q4" s="46"/>
      <c r="R4" s="46"/>
      <c r="S4" s="7"/>
      <c r="U4" s="53" t="s">
        <v>36</v>
      </c>
    </row>
    <row r="5" spans="2:37" ht="15" thickBot="1">
      <c r="B5" s="6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5"/>
      <c r="S5" s="7"/>
      <c r="U5" s="52" t="s">
        <v>12</v>
      </c>
      <c r="V5" s="47" t="s">
        <v>13</v>
      </c>
      <c r="W5" s="47" t="s">
        <v>14</v>
      </c>
      <c r="X5" s="47" t="s">
        <v>15</v>
      </c>
      <c r="Y5" s="47" t="s">
        <v>37</v>
      </c>
      <c r="Z5" s="47" t="s">
        <v>38</v>
      </c>
      <c r="AA5" s="47" t="s">
        <v>5</v>
      </c>
      <c r="AB5" s="47" t="s">
        <v>39</v>
      </c>
      <c r="AC5" s="47" t="s">
        <v>40</v>
      </c>
      <c r="AD5" s="48" t="s">
        <v>41</v>
      </c>
    </row>
    <row r="6" spans="2:37" ht="15" thickBot="1">
      <c r="B6" s="6"/>
      <c r="C6" s="6"/>
      <c r="D6" s="46" t="s">
        <v>64</v>
      </c>
      <c r="E6" s="2" t="s">
        <v>51</v>
      </c>
      <c r="F6" s="46"/>
      <c r="G6" s="46" t="s">
        <v>65</v>
      </c>
      <c r="H6" s="46"/>
      <c r="I6" s="2"/>
      <c r="J6" s="46"/>
      <c r="K6" s="46" t="s">
        <v>0</v>
      </c>
      <c r="L6" s="46"/>
      <c r="M6" s="46" t="s">
        <v>33</v>
      </c>
      <c r="N6" s="46"/>
      <c r="O6" s="46" t="s">
        <v>7</v>
      </c>
      <c r="P6" s="46"/>
      <c r="Q6" s="20">
        <f>_xlfn.XLOOKUP(M6, U6:U12, V6:V12, "Not Found")</f>
        <v>46028</v>
      </c>
      <c r="R6" s="7"/>
      <c r="S6" s="7"/>
      <c r="U6" s="30">
        <v>1</v>
      </c>
      <c r="V6" s="22">
        <v>46028</v>
      </c>
      <c r="W6" s="1" t="s">
        <v>16</v>
      </c>
      <c r="X6" s="1" t="s">
        <v>17</v>
      </c>
      <c r="Y6" s="1">
        <v>12</v>
      </c>
      <c r="Z6" s="23">
        <v>46082</v>
      </c>
      <c r="AA6" s="24">
        <v>100</v>
      </c>
      <c r="AB6" s="1">
        <v>123</v>
      </c>
      <c r="AC6" s="1">
        <v>23</v>
      </c>
      <c r="AD6" s="31">
        <v>100</v>
      </c>
    </row>
    <row r="7" spans="2:37" ht="15" thickBot="1">
      <c r="B7" s="6"/>
      <c r="C7" s="6"/>
      <c r="D7" s="46" t="s">
        <v>2</v>
      </c>
      <c r="E7" s="2" t="str">
        <f>_xlfn.XLOOKUP(M6, U6:U12, W6:W12, "Not Found")</f>
        <v>KL03/234</v>
      </c>
      <c r="F7" s="46"/>
      <c r="G7" s="46" t="s">
        <v>1</v>
      </c>
      <c r="H7" s="46"/>
      <c r="I7" s="19">
        <f>M14</f>
        <v>0</v>
      </c>
      <c r="J7" s="46"/>
      <c r="K7" s="46" t="s">
        <v>3</v>
      </c>
      <c r="L7" s="46">
        <f>_xlfn.XLOOKUP(M6, U6:U12, Y6:Y12, "Not Found")</f>
        <v>21</v>
      </c>
      <c r="M7" s="46"/>
      <c r="N7" s="46"/>
      <c r="O7" s="46" t="s">
        <v>4</v>
      </c>
      <c r="P7" s="46"/>
      <c r="Q7" s="20">
        <f>_xlfn.XLOOKUP(M6, U6:U12, Z6:Z12, "Not Found")</f>
        <v>46088</v>
      </c>
      <c r="R7" s="7"/>
      <c r="S7" s="7"/>
      <c r="U7" s="30" t="s">
        <v>35</v>
      </c>
      <c r="V7" s="22">
        <v>42404</v>
      </c>
      <c r="W7" s="1" t="s">
        <v>18</v>
      </c>
      <c r="X7" s="1" t="s">
        <v>24</v>
      </c>
      <c r="Y7" s="1">
        <v>23</v>
      </c>
      <c r="Z7" s="23">
        <v>46083</v>
      </c>
      <c r="AA7" s="24">
        <v>101</v>
      </c>
      <c r="AB7" s="1">
        <v>134</v>
      </c>
      <c r="AC7" s="1">
        <v>34</v>
      </c>
      <c r="AD7" s="31">
        <v>100</v>
      </c>
      <c r="AF7" s="51" t="s">
        <v>44</v>
      </c>
    </row>
    <row r="8" spans="2:37" ht="15" thickBot="1">
      <c r="B8" s="6"/>
      <c r="C8" s="6"/>
      <c r="D8" s="46" t="s">
        <v>66</v>
      </c>
      <c r="E8" s="46"/>
      <c r="F8" s="46"/>
      <c r="G8" s="46" t="s">
        <v>67</v>
      </c>
      <c r="H8" s="46"/>
      <c r="I8" s="20">
        <f>_xlfn.XLOOKUP(E8, M8:M14, N8:N14, "Not Found")</f>
        <v>0</v>
      </c>
      <c r="J8" s="46"/>
      <c r="K8" s="46" t="s">
        <v>61</v>
      </c>
      <c r="L8" s="46"/>
      <c r="M8" s="46"/>
      <c r="N8" s="46"/>
      <c r="O8" s="46"/>
      <c r="P8" s="46"/>
      <c r="Q8" s="46"/>
      <c r="R8" s="7"/>
      <c r="S8" s="7"/>
      <c r="U8" s="30" t="s">
        <v>31</v>
      </c>
      <c r="V8" s="22">
        <v>46028</v>
      </c>
      <c r="W8" s="1" t="s">
        <v>19</v>
      </c>
      <c r="X8" s="1" t="s">
        <v>25</v>
      </c>
      <c r="Y8" s="1">
        <v>4</v>
      </c>
      <c r="Z8" s="23">
        <v>46084</v>
      </c>
      <c r="AA8" s="24">
        <v>98</v>
      </c>
      <c r="AB8" s="1">
        <v>212</v>
      </c>
      <c r="AC8" s="1">
        <v>33</v>
      </c>
      <c r="AD8" s="31">
        <v>179</v>
      </c>
      <c r="AF8" s="49" t="s">
        <v>12</v>
      </c>
      <c r="AG8" s="49" t="s">
        <v>45</v>
      </c>
      <c r="AH8" s="49" t="s">
        <v>50</v>
      </c>
      <c r="AI8" s="50" t="s">
        <v>5</v>
      </c>
      <c r="AJ8" s="49" t="s">
        <v>6</v>
      </c>
      <c r="AK8" s="49" t="s">
        <v>8</v>
      </c>
    </row>
    <row r="9" spans="2:37" ht="15" thickBot="1">
      <c r="B9" s="6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0"/>
      <c r="S9" s="7"/>
      <c r="U9" s="30" t="s">
        <v>34</v>
      </c>
      <c r="V9" s="22">
        <v>46028</v>
      </c>
      <c r="W9" s="1" t="s">
        <v>20</v>
      </c>
      <c r="X9" s="1" t="s">
        <v>26</v>
      </c>
      <c r="Y9" s="1">
        <v>5</v>
      </c>
      <c r="Z9" s="23">
        <v>46085</v>
      </c>
      <c r="AA9" s="24">
        <v>102</v>
      </c>
      <c r="AB9" s="1">
        <v>334</v>
      </c>
      <c r="AC9" s="1">
        <v>25</v>
      </c>
      <c r="AD9" s="31">
        <v>309</v>
      </c>
      <c r="AF9" s="21">
        <v>1</v>
      </c>
      <c r="AG9" s="22">
        <v>46028</v>
      </c>
      <c r="AH9" s="1" t="s">
        <v>46</v>
      </c>
      <c r="AI9" s="1">
        <v>20</v>
      </c>
      <c r="AJ9" s="1">
        <v>12</v>
      </c>
      <c r="AK9" s="1">
        <v>11</v>
      </c>
    </row>
    <row r="10" spans="2:37" ht="15" thickBot="1">
      <c r="B10" s="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7"/>
      <c r="U10" s="30" t="s">
        <v>30</v>
      </c>
      <c r="V10" s="22">
        <v>46028</v>
      </c>
      <c r="W10" s="1" t="s">
        <v>21</v>
      </c>
      <c r="X10" s="1" t="s">
        <v>27</v>
      </c>
      <c r="Y10" s="1">
        <v>5</v>
      </c>
      <c r="Z10" s="23">
        <v>46086</v>
      </c>
      <c r="AA10" s="24">
        <v>104</v>
      </c>
      <c r="AB10" s="1">
        <v>334</v>
      </c>
      <c r="AC10" s="1">
        <v>32</v>
      </c>
      <c r="AD10" s="31">
        <v>302</v>
      </c>
      <c r="AF10" s="21" t="s">
        <v>35</v>
      </c>
      <c r="AG10" s="22">
        <v>42404</v>
      </c>
      <c r="AH10" s="1" t="s">
        <v>47</v>
      </c>
      <c r="AI10" s="1">
        <v>50</v>
      </c>
      <c r="AJ10" s="1">
        <v>21</v>
      </c>
      <c r="AK10" s="1">
        <v>21</v>
      </c>
    </row>
    <row r="11" spans="2:37" ht="15" thickBot="1">
      <c r="B11" s="6"/>
      <c r="C11" s="27" t="s">
        <v>52</v>
      </c>
      <c r="D11" s="12"/>
      <c r="E11" s="58" t="s">
        <v>53</v>
      </c>
      <c r="F11" s="27" t="s">
        <v>54</v>
      </c>
      <c r="G11" s="12"/>
      <c r="H11" s="46"/>
      <c r="I11" s="58" t="s">
        <v>55</v>
      </c>
      <c r="J11" s="2" t="s">
        <v>56</v>
      </c>
      <c r="K11" s="2"/>
      <c r="L11" s="58" t="s">
        <v>57</v>
      </c>
      <c r="M11" s="2" t="s">
        <v>58</v>
      </c>
      <c r="N11" s="58" t="s">
        <v>59</v>
      </c>
      <c r="O11" s="2" t="s">
        <v>60</v>
      </c>
      <c r="P11" s="46"/>
      <c r="Q11" s="46"/>
      <c r="R11" s="46"/>
      <c r="S11" s="7"/>
      <c r="U11" s="30" t="s">
        <v>32</v>
      </c>
      <c r="V11" s="22">
        <v>46028</v>
      </c>
      <c r="W11" s="1" t="s">
        <v>22</v>
      </c>
      <c r="X11" s="1" t="s">
        <v>28</v>
      </c>
      <c r="Y11" s="1">
        <v>23</v>
      </c>
      <c r="Z11" s="23">
        <v>46087</v>
      </c>
      <c r="AA11" s="24">
        <v>101</v>
      </c>
      <c r="AB11" s="1">
        <v>221</v>
      </c>
      <c r="AC11" s="1">
        <v>35</v>
      </c>
      <c r="AD11" s="31">
        <v>186</v>
      </c>
      <c r="AF11" s="21" t="s">
        <v>31</v>
      </c>
      <c r="AG11" s="22">
        <v>46028</v>
      </c>
      <c r="AH11" s="1" t="s">
        <v>46</v>
      </c>
      <c r="AI11" s="1">
        <v>40</v>
      </c>
      <c r="AJ11" s="1">
        <v>23</v>
      </c>
      <c r="AK11" s="1">
        <v>23</v>
      </c>
    </row>
    <row r="12" spans="2:37" ht="15" thickBot="1">
      <c r="B12" s="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7"/>
      <c r="U12" s="32" t="s">
        <v>33</v>
      </c>
      <c r="V12" s="33">
        <v>46028</v>
      </c>
      <c r="W12" s="34" t="s">
        <v>23</v>
      </c>
      <c r="X12" s="34" t="s">
        <v>29</v>
      </c>
      <c r="Y12" s="34">
        <v>21</v>
      </c>
      <c r="Z12" s="35">
        <v>46088</v>
      </c>
      <c r="AA12" s="36">
        <v>102</v>
      </c>
      <c r="AB12" s="34">
        <v>234</v>
      </c>
      <c r="AC12" s="34">
        <v>32</v>
      </c>
      <c r="AD12" s="37">
        <v>202</v>
      </c>
      <c r="AF12" s="21" t="s">
        <v>34</v>
      </c>
      <c r="AG12" s="22">
        <v>46028</v>
      </c>
      <c r="AH12" s="1" t="s">
        <v>46</v>
      </c>
      <c r="AI12" s="1">
        <v>20</v>
      </c>
      <c r="AJ12" s="1">
        <v>45</v>
      </c>
      <c r="AK12" s="1">
        <v>45</v>
      </c>
    </row>
    <row r="13" spans="2:37" ht="15" thickBot="1">
      <c r="B13" s="6"/>
      <c r="C13" s="13"/>
      <c r="D13" s="11" t="s">
        <v>42</v>
      </c>
      <c r="E13" s="14"/>
      <c r="F13" s="14"/>
      <c r="G13" s="17" t="s">
        <v>5</v>
      </c>
      <c r="H13" s="17"/>
      <c r="I13" s="14" t="s">
        <v>43</v>
      </c>
      <c r="J13" s="14"/>
      <c r="K13" s="14" t="s">
        <v>8</v>
      </c>
      <c r="L13" s="14"/>
      <c r="M13" s="14"/>
      <c r="N13" s="14"/>
      <c r="O13" s="14" t="s">
        <v>9</v>
      </c>
      <c r="P13" s="14"/>
      <c r="Q13" s="14" t="s">
        <v>10</v>
      </c>
      <c r="R13" s="15"/>
      <c r="S13" s="7"/>
      <c r="AF13" s="21" t="s">
        <v>30</v>
      </c>
      <c r="AG13" s="22">
        <v>46028</v>
      </c>
      <c r="AH13" s="1" t="s">
        <v>46</v>
      </c>
      <c r="AI13" s="1">
        <v>30</v>
      </c>
      <c r="AJ13" s="1">
        <v>43</v>
      </c>
      <c r="AK13" s="1">
        <v>43</v>
      </c>
    </row>
    <row r="14" spans="2:37" ht="15" thickBot="1">
      <c r="B14" s="6"/>
      <c r="C14" s="6">
        <v>1</v>
      </c>
      <c r="D14" s="1" t="str">
        <f>_xlfn.XLOOKUP(M6,AF9:AF15,AH9:AH15)</f>
        <v>Rice</v>
      </c>
      <c r="E14" s="46"/>
      <c r="F14" s="46"/>
      <c r="G14" s="16">
        <f>_xlfn.XLOOKUP(M6,AF9:AF15,AI9:AI15)</f>
        <v>30</v>
      </c>
      <c r="H14" s="55"/>
      <c r="I14" s="16">
        <f>_xlfn.XLOOKUP(M6,AF9:AF15,AJ9:AJ15)</f>
        <v>32</v>
      </c>
      <c r="J14" s="46"/>
      <c r="K14" s="16">
        <f>_xlfn.XLOOKUP(M6,AF9:AF15,AK9:AK15)</f>
        <v>31</v>
      </c>
      <c r="L14" s="46"/>
      <c r="M14" s="46"/>
      <c r="N14" s="46"/>
      <c r="O14" s="2"/>
      <c r="P14" s="46"/>
      <c r="Q14" s="46"/>
      <c r="R14" s="7"/>
      <c r="S14" s="7"/>
      <c r="AF14" s="21" t="s">
        <v>32</v>
      </c>
      <c r="AG14" s="22">
        <v>46028</v>
      </c>
      <c r="AH14" s="1" t="s">
        <v>48</v>
      </c>
      <c r="AI14" s="1">
        <v>40</v>
      </c>
      <c r="AJ14" s="1">
        <v>34</v>
      </c>
      <c r="AK14" s="1">
        <v>33</v>
      </c>
    </row>
    <row r="15" spans="2:37" ht="15" thickBot="1">
      <c r="B15" s="6"/>
      <c r="C15" s="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7"/>
      <c r="S15" s="7"/>
      <c r="AF15" s="21" t="s">
        <v>33</v>
      </c>
      <c r="AG15" s="22">
        <v>46028</v>
      </c>
      <c r="AH15" s="1" t="s">
        <v>49</v>
      </c>
      <c r="AI15" s="1">
        <v>30</v>
      </c>
      <c r="AJ15" s="1">
        <v>32</v>
      </c>
      <c r="AK15" s="1">
        <v>31</v>
      </c>
    </row>
    <row r="16" spans="2:37">
      <c r="B16" s="6"/>
      <c r="C16" s="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7"/>
      <c r="S16" s="7"/>
      <c r="U16" s="19" t="s">
        <v>69</v>
      </c>
      <c r="AG16" s="25"/>
    </row>
    <row r="17" spans="1:34">
      <c r="B17" s="6"/>
      <c r="C17" s="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7"/>
      <c r="S17" s="7"/>
      <c r="U17" s="1" t="s">
        <v>64</v>
      </c>
      <c r="V17" s="1" t="s">
        <v>70</v>
      </c>
      <c r="W17" s="1" t="s">
        <v>71</v>
      </c>
      <c r="X17" s="1" t="s">
        <v>73</v>
      </c>
      <c r="Y17" s="1" t="s">
        <v>74</v>
      </c>
      <c r="Z17" s="1" t="s">
        <v>75</v>
      </c>
      <c r="AA17" s="1" t="s">
        <v>76</v>
      </c>
      <c r="AB17" s="46"/>
      <c r="AC17" s="46"/>
      <c r="AD17" s="46"/>
      <c r="AG17" s="25"/>
    </row>
    <row r="18" spans="1:34">
      <c r="B18" s="6"/>
      <c r="C18" s="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7"/>
      <c r="S18" s="7"/>
      <c r="U18" s="1">
        <v>1</v>
      </c>
      <c r="V18" s="60">
        <f ca="1">NOW()</f>
        <v>46205.886637615738</v>
      </c>
      <c r="W18" s="1" t="s">
        <v>72</v>
      </c>
      <c r="X18" s="1"/>
      <c r="Y18" s="1"/>
      <c r="Z18" s="1"/>
      <c r="AA18" s="1"/>
      <c r="AB18" s="46"/>
      <c r="AC18" s="46"/>
      <c r="AD18" s="46"/>
    </row>
    <row r="19" spans="1:34">
      <c r="B19" s="6"/>
      <c r="C19" s="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7"/>
      <c r="S19" s="7"/>
      <c r="U19" s="1"/>
      <c r="V19" s="1"/>
      <c r="W19" s="1"/>
      <c r="X19" s="1"/>
      <c r="Y19" s="1"/>
      <c r="Z19" s="1"/>
      <c r="AA19" s="1"/>
      <c r="AB19" s="46"/>
      <c r="AC19" s="46"/>
      <c r="AD19" s="46"/>
    </row>
    <row r="20" spans="1:34">
      <c r="B20" s="6"/>
      <c r="C20" s="41"/>
      <c r="D20" s="43"/>
      <c r="E20" s="43"/>
      <c r="F20" s="43"/>
      <c r="G20" s="43"/>
      <c r="H20" s="43"/>
      <c r="I20" s="45"/>
      <c r="J20" s="43"/>
      <c r="K20" s="45"/>
      <c r="L20" s="43"/>
      <c r="M20" s="43"/>
      <c r="N20" s="43"/>
      <c r="O20" s="43"/>
      <c r="P20" s="43"/>
      <c r="Q20" s="43"/>
      <c r="R20" s="42"/>
      <c r="S20" s="28"/>
      <c r="T20" s="29"/>
      <c r="U20" s="1"/>
      <c r="V20" s="1"/>
      <c r="W20" s="1"/>
      <c r="X20" s="1"/>
      <c r="Y20" s="1"/>
      <c r="Z20" s="1"/>
      <c r="AA20" s="1"/>
      <c r="AB20" s="46"/>
      <c r="AC20" s="46"/>
      <c r="AD20" s="46"/>
    </row>
    <row r="21" spans="1:34">
      <c r="B21" s="6"/>
      <c r="C21" s="54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7"/>
      <c r="S21" s="7"/>
      <c r="U21" s="1"/>
      <c r="V21" s="1"/>
      <c r="W21" s="1"/>
      <c r="X21" s="1"/>
      <c r="Y21" s="1"/>
      <c r="Z21" s="1"/>
      <c r="AA21" s="1"/>
      <c r="AB21" s="46"/>
      <c r="AC21" s="46"/>
      <c r="AD21" s="46"/>
    </row>
    <row r="22" spans="1:34">
      <c r="B22" s="6"/>
      <c r="C22" s="54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7"/>
      <c r="S22" s="7"/>
      <c r="U22" s="1"/>
      <c r="V22" s="1"/>
      <c r="W22" s="26"/>
      <c r="X22" s="1"/>
      <c r="Y22" s="1"/>
      <c r="Z22" s="1"/>
      <c r="AA22" s="1"/>
      <c r="AB22" s="46"/>
      <c r="AC22" s="46"/>
      <c r="AD22" s="46"/>
    </row>
    <row r="23" spans="1:34" ht="15" thickBot="1">
      <c r="B23" s="6"/>
      <c r="C23" s="41">
        <v>10</v>
      </c>
      <c r="D23" s="43"/>
      <c r="E23" s="44"/>
      <c r="F23" s="44"/>
      <c r="G23" s="44"/>
      <c r="H23" s="44"/>
      <c r="I23" s="43"/>
      <c r="J23" s="43"/>
      <c r="K23" s="43"/>
      <c r="L23" s="43"/>
      <c r="M23" s="43"/>
      <c r="N23" s="43"/>
      <c r="O23" s="43"/>
      <c r="P23" s="43"/>
      <c r="Q23" s="43"/>
      <c r="R23" s="42"/>
      <c r="S23" s="7"/>
      <c r="U23" s="1"/>
      <c r="V23" s="1"/>
      <c r="W23" s="26"/>
      <c r="X23" s="1"/>
      <c r="Y23" s="1"/>
      <c r="Z23" s="1"/>
      <c r="AA23" s="1"/>
      <c r="AB23" s="46"/>
      <c r="AC23" s="46"/>
      <c r="AD23" s="46"/>
    </row>
    <row r="24" spans="1:34" ht="15" thickBot="1">
      <c r="B24" s="6"/>
      <c r="C24" s="13"/>
      <c r="D24" s="14"/>
      <c r="E24" s="18" t="s">
        <v>11</v>
      </c>
      <c r="F24" s="18"/>
      <c r="G24" s="14">
        <v>0</v>
      </c>
      <c r="H24" s="14"/>
      <c r="I24" s="18">
        <v>0</v>
      </c>
      <c r="J24" s="14"/>
      <c r="K24" s="18">
        <v>0</v>
      </c>
      <c r="L24" s="14"/>
      <c r="M24" s="14"/>
      <c r="N24" s="14"/>
      <c r="O24" s="14"/>
      <c r="P24" s="14"/>
      <c r="Q24" s="14"/>
      <c r="R24" s="15"/>
      <c r="S24" s="7"/>
      <c r="U24" s="46"/>
      <c r="V24" s="46"/>
      <c r="W24" s="46"/>
      <c r="X24" s="46"/>
      <c r="AA24" s="46"/>
      <c r="AB24" s="46"/>
    </row>
    <row r="25" spans="1:34" ht="15" thickBot="1">
      <c r="B25" s="6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7"/>
      <c r="U25" s="46"/>
      <c r="V25" s="46"/>
      <c r="W25" s="46"/>
      <c r="X25" s="46"/>
      <c r="AA25" s="46"/>
      <c r="AB25" s="46"/>
    </row>
    <row r="26" spans="1:34" ht="15" thickBot="1">
      <c r="B26" s="6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7"/>
      <c r="U26" s="19" t="s">
        <v>77</v>
      </c>
      <c r="AB26" s="46"/>
    </row>
    <row r="27" spans="1:34" ht="52.8" customHeight="1" thickBot="1">
      <c r="B27" s="6"/>
      <c r="D27" s="43" t="s">
        <v>68</v>
      </c>
      <c r="E27" s="38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40"/>
      <c r="R27" s="43"/>
      <c r="S27" s="7"/>
      <c r="U27" s="1" t="s">
        <v>64</v>
      </c>
      <c r="V27" s="1" t="s">
        <v>70</v>
      </c>
      <c r="W27" s="1" t="s">
        <v>71</v>
      </c>
      <c r="X27" s="1" t="s">
        <v>73</v>
      </c>
      <c r="Y27" s="1" t="s">
        <v>74</v>
      </c>
      <c r="Z27" s="1" t="s">
        <v>75</v>
      </c>
      <c r="AA27" s="61" t="s">
        <v>76</v>
      </c>
      <c r="AB27" s="62" t="s">
        <v>50</v>
      </c>
      <c r="AC27" s="62" t="s">
        <v>5</v>
      </c>
      <c r="AD27" s="62" t="s">
        <v>62</v>
      </c>
    </row>
    <row r="28" spans="1:34">
      <c r="B28" s="6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7"/>
      <c r="U28" s="1">
        <v>1</v>
      </c>
      <c r="V28" s="60">
        <f ca="1">NOW()</f>
        <v>46205.886637615738</v>
      </c>
      <c r="W28" s="1" t="s">
        <v>72</v>
      </c>
      <c r="X28" s="1"/>
      <c r="Y28" s="1"/>
      <c r="Z28" s="1"/>
      <c r="AA28" s="61"/>
      <c r="AB28" s="1"/>
      <c r="AC28" s="1"/>
      <c r="AD28" s="1"/>
    </row>
    <row r="29" spans="1:34" ht="15" thickBot="1">
      <c r="B29" s="8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10"/>
      <c r="U29" s="1"/>
      <c r="V29" s="1"/>
      <c r="W29" s="1"/>
      <c r="X29" s="1"/>
      <c r="Y29" s="1"/>
      <c r="Z29" s="1"/>
      <c r="AA29" s="61"/>
      <c r="AB29" s="1"/>
      <c r="AC29" s="1"/>
      <c r="AD29" s="1"/>
    </row>
    <row r="30" spans="1:34">
      <c r="A30" s="46"/>
      <c r="B30" s="46"/>
      <c r="C30" s="43"/>
      <c r="D30" s="43"/>
      <c r="E30" s="43"/>
      <c r="F30" s="43"/>
      <c r="G30" s="43"/>
      <c r="H30" s="43"/>
      <c r="I30" s="45"/>
      <c r="J30" s="43"/>
      <c r="K30" s="45"/>
      <c r="L30" s="43"/>
      <c r="M30" s="43"/>
      <c r="N30" s="43"/>
      <c r="O30" s="43"/>
      <c r="P30" s="43"/>
      <c r="Q30" s="43"/>
      <c r="R30" s="43"/>
      <c r="S30" s="46"/>
      <c r="T30" s="46"/>
      <c r="U30" s="1"/>
      <c r="V30" s="1"/>
      <c r="W30" s="1"/>
      <c r="X30" s="1"/>
      <c r="Y30" s="1"/>
      <c r="Z30" s="1"/>
      <c r="AA30" s="61"/>
      <c r="AB30" s="1"/>
      <c r="AC30" s="1"/>
      <c r="AD30" s="1"/>
    </row>
    <row r="31" spans="1:34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1"/>
      <c r="V31" s="1"/>
      <c r="W31" s="1"/>
      <c r="X31" s="1"/>
      <c r="Y31" s="1"/>
      <c r="Z31" s="1"/>
      <c r="AA31" s="61"/>
      <c r="AB31" s="1"/>
      <c r="AC31" s="1"/>
      <c r="AD31" s="1"/>
    </row>
    <row r="32" spans="1:34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1"/>
      <c r="V32" s="1"/>
      <c r="W32" s="26"/>
      <c r="X32" s="1"/>
      <c r="Y32" s="1"/>
      <c r="Z32" s="1"/>
      <c r="AA32" s="61"/>
      <c r="AB32" s="1"/>
      <c r="AC32" s="1"/>
      <c r="AD32" s="1"/>
      <c r="AE32" s="46"/>
      <c r="AF32" s="46"/>
      <c r="AG32" s="46"/>
      <c r="AH32" s="46"/>
    </row>
    <row r="33" spans="1:34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1"/>
      <c r="V33" s="1"/>
      <c r="W33" s="26"/>
      <c r="X33" s="1"/>
      <c r="Y33" s="1"/>
      <c r="Z33" s="1"/>
      <c r="AA33" s="61"/>
      <c r="AB33" s="1"/>
      <c r="AC33" s="1"/>
      <c r="AD33" s="1"/>
      <c r="AE33" s="46"/>
      <c r="AF33" s="46"/>
      <c r="AG33" s="46"/>
      <c r="AH33" s="46"/>
    </row>
    <row r="34" spans="1: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</row>
    <row r="35" spans="1:34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</row>
    <row r="36" spans="1:34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</row>
    <row r="37" spans="1:34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</row>
    <row r="38" spans="1:34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</row>
    <row r="39" spans="1:34"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</row>
    <row r="40" spans="1:34"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</row>
    <row r="41" spans="1:34"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</row>
    <row r="42" spans="1:34"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</row>
    <row r="43" spans="1:34"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</row>
    <row r="44" spans="1:34"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</row>
    <row r="45" spans="1:34"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</row>
    <row r="46" spans="1:34"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</row>
    <row r="47" spans="1:34"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</row>
    <row r="48" spans="1:34"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</row>
    <row r="49" spans="21:34"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</row>
    <row r="50" spans="21:34"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</row>
    <row r="51" spans="21:34"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</row>
    <row r="52" spans="21:34"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</row>
    <row r="53" spans="21:34"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</row>
    <row r="54" spans="21:34"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</row>
    <row r="55" spans="21:34"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</row>
    <row r="56" spans="21:34"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</row>
    <row r="57" spans="21:34"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</row>
    <row r="58" spans="21:34"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</row>
    <row r="59" spans="21:34"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</row>
    <row r="60" spans="21:34"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</row>
    <row r="61" spans="21:34"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</row>
    <row r="62" spans="21:34"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</row>
    <row r="63" spans="21:34"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</row>
    <row r="64" spans="21:34"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</row>
    <row r="65" spans="21:34"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</row>
    <row r="66" spans="21:34"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</row>
    <row r="67" spans="21:34"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</row>
    <row r="68" spans="21:34"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</row>
    <row r="69" spans="21:34"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</row>
    <row r="70" spans="21:34"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</row>
    <row r="71" spans="21:34"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</row>
    <row r="72" spans="21:34"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</row>
    <row r="73" spans="21:34"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</row>
    <row r="74" spans="21:34"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</row>
    <row r="75" spans="21:34"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</row>
  </sheetData>
  <phoneticPr fontId="3" type="noConversion"/>
  <dataValidations count="2">
    <dataValidation type="list" allowBlank="1" showInputMessage="1" showErrorMessage="1" sqref="D14" xr:uid="{110DA07E-9B35-494A-BAF8-7E1D6A32DCAE}">
      <formula1>_xlfn.UNIQUE($AH$9:$AH$15)</formula1>
    </dataValidation>
    <dataValidation type="list" allowBlank="1" showInputMessage="1" showErrorMessage="1" sqref="E34" xr:uid="{F0762CC4-8F92-4460-B686-AD22D8BC4A67}">
      <formula1>$AA$53:$AA$57</formula1>
    </dataValidation>
  </dataValidation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45" r:id="rId3" name="ComboBox4">
          <controlPr defaultSize="0" autoLine="0" r:id="rId4">
            <anchor moveWithCells="1">
              <from>
                <xdr:col>11</xdr:col>
                <xdr:colOff>15240</xdr:colOff>
                <xdr:row>7</xdr:row>
                <xdr:rowOff>38100</xdr:rowOff>
              </from>
              <to>
                <xdr:col>13</xdr:col>
                <xdr:colOff>22860</xdr:colOff>
                <xdr:row>8</xdr:row>
                <xdr:rowOff>99060</xdr:rowOff>
              </to>
            </anchor>
          </controlPr>
        </control>
      </mc:Choice>
      <mc:Fallback>
        <control shapeId="1045" r:id="rId3" name="ComboBox4"/>
      </mc:Fallback>
    </mc:AlternateContent>
    <mc:AlternateContent xmlns:mc="http://schemas.openxmlformats.org/markup-compatibility/2006">
      <mc:Choice Requires="x14">
        <control shapeId="1044" r:id="rId5" name="ComboBox3">
          <controlPr defaultSize="0" autoLine="0" r:id="rId6">
            <anchor moveWithCells="1">
              <from>
                <xdr:col>4</xdr:col>
                <xdr:colOff>7620</xdr:colOff>
                <xdr:row>7</xdr:row>
                <xdr:rowOff>7620</xdr:rowOff>
              </from>
              <to>
                <xdr:col>6</xdr:col>
                <xdr:colOff>7620</xdr:colOff>
                <xdr:row>8</xdr:row>
                <xdr:rowOff>68580</xdr:rowOff>
              </to>
            </anchor>
          </controlPr>
        </control>
      </mc:Choice>
      <mc:Fallback>
        <control shapeId="1044" r:id="rId5" name="ComboBox3"/>
      </mc:Fallback>
    </mc:AlternateContent>
    <mc:AlternateContent xmlns:mc="http://schemas.openxmlformats.org/markup-compatibility/2006">
      <mc:Choice Requires="x14">
        <control shapeId="1026" r:id="rId7" name="ComboBox2">
          <controlPr defaultSize="0" autoLine="0" autoPict="0" r:id="rId6">
            <anchor moveWithCells="1">
              <from>
                <xdr:col>11</xdr:col>
                <xdr:colOff>7620</xdr:colOff>
                <xdr:row>6</xdr:row>
                <xdr:rowOff>7620</xdr:rowOff>
              </from>
              <to>
                <xdr:col>13</xdr:col>
                <xdr:colOff>22860</xdr:colOff>
                <xdr:row>7</xdr:row>
                <xdr:rowOff>68580</xdr:rowOff>
              </to>
            </anchor>
          </controlPr>
        </control>
      </mc:Choice>
      <mc:Fallback>
        <control shapeId="1026" r:id="rId7" name="ComboBox2"/>
      </mc:Fallback>
    </mc:AlternateContent>
    <mc:AlternateContent xmlns:mc="http://schemas.openxmlformats.org/markup-compatibility/2006">
      <mc:Choice Requires="x14">
        <control shapeId="1039" r:id="rId8" name="ComboBox1">
          <controlPr defaultSize="0" autoLine="0" autoPict="0" linkedCell="M6" listFillRange="U6:AD12" r:id="rId9">
            <anchor moveWithCells="1">
              <from>
                <xdr:col>11</xdr:col>
                <xdr:colOff>22860</xdr:colOff>
                <xdr:row>4</xdr:row>
                <xdr:rowOff>175260</xdr:rowOff>
              </from>
              <to>
                <xdr:col>13</xdr:col>
                <xdr:colOff>0</xdr:colOff>
                <xdr:row>6</xdr:row>
                <xdr:rowOff>0</xdr:rowOff>
              </to>
            </anchor>
          </controlPr>
        </control>
      </mc:Choice>
      <mc:Fallback>
        <control shapeId="1039" r:id="rId8" name="ComboBox1"/>
      </mc:Fallback>
    </mc:AlternateContent>
    <mc:AlternateContent xmlns:mc="http://schemas.openxmlformats.org/markup-compatibility/2006">
      <mc:Choice Requires="x14">
        <control shapeId="1041" r:id="rId10" name="Button 17">
          <controlPr defaultSize="0" print="0" autoFill="0" autoPict="0" macro="[0]!Button9_Click">
            <anchor moveWithCells="1" sizeWithCells="1">
              <from>
                <xdr:col>16</xdr:col>
                <xdr:colOff>0</xdr:colOff>
                <xdr:row>13</xdr:row>
                <xdr:rowOff>0</xdr:rowOff>
              </from>
              <to>
                <xdr:col>16</xdr:col>
                <xdr:colOff>175260</xdr:colOff>
                <xdr:row>13</xdr:row>
                <xdr:rowOff>152400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2" r:id="rId11" name="Button 18">
          <controlPr defaultSize="0" print="0" autoFill="0" autoPict="0" macro="[0]!Button13_Click">
            <anchor moveWithCells="1" sizeWithCells="1">
              <from>
                <xdr:col>16</xdr:col>
                <xdr:colOff>403860</xdr:colOff>
                <xdr:row>13</xdr:row>
                <xdr:rowOff>15240</xdr:rowOff>
              </from>
              <to>
                <xdr:col>16</xdr:col>
                <xdr:colOff>556260</xdr:colOff>
                <xdr:row>13</xdr:row>
                <xdr:rowOff>182880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3" r:id="rId12" name="Spinner 19">
          <controlPr defaultSize="0" autoPict="0">
            <anchor moveWithCells="1" sizeWithCells="1">
              <from>
                <xdr:col>17</xdr:col>
                <xdr:colOff>45720</xdr:colOff>
                <xdr:row>13</xdr:row>
                <xdr:rowOff>38100</xdr:rowOff>
              </from>
              <to>
                <xdr:col>18</xdr:col>
                <xdr:colOff>0</xdr:colOff>
                <xdr:row>23</xdr:row>
                <xdr:rowOff>0</xdr:rowOff>
              </to>
            </anchor>
          </controlPr>
        </control>
      </mc:Choice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RMPCH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Gupta</dc:creator>
  <cp:lastModifiedBy>Rajesh Gupta</cp:lastModifiedBy>
  <dcterms:created xsi:type="dcterms:W3CDTF">2026-06-22T11:35:44Z</dcterms:created>
  <dcterms:modified xsi:type="dcterms:W3CDTF">2026-07-02T16:25:05Z</dcterms:modified>
</cp:coreProperties>
</file>