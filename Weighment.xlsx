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fit_demo\chetan\GRN\"/>
    </mc:Choice>
  </mc:AlternateContent>
  <xr:revisionPtr revIDLastSave="0" documentId="13_ncr:1_{DD1BFF1F-C489-43F6-BB3C-239168A7DF8A}" xr6:coauthVersionLast="47" xr6:coauthVersionMax="47" xr10:uidLastSave="{00000000-0000-0000-0000-000000000000}"/>
  <bookViews>
    <workbookView xWindow="-108" yWindow="-108" windowWidth="23256" windowHeight="12456" xr2:uid="{E01A45B5-7719-4730-83F1-41A466E3E0FA}"/>
  </bookViews>
  <sheets>
    <sheet name="Weigh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2" i="1" l="1"/>
  <c r="D67" i="1"/>
  <c r="H66" i="1"/>
  <c r="H65" i="1"/>
  <c r="D13" i="1"/>
  <c r="H7" i="1"/>
  <c r="H6" i="1"/>
  <c r="D8" i="1"/>
</calcChain>
</file>

<file path=xl/sharedStrings.xml><?xml version="1.0" encoding="utf-8"?>
<sst xmlns="http://schemas.openxmlformats.org/spreadsheetml/2006/main" count="112" uniqueCount="72">
  <si>
    <t xml:space="preserve">Gate  Pass No </t>
  </si>
  <si>
    <t>Vehicle</t>
  </si>
  <si>
    <t>Weighment Slip No.</t>
  </si>
  <si>
    <t>Bags</t>
  </si>
  <si>
    <t>Gross Weight</t>
  </si>
  <si>
    <t>Gate Pass Date</t>
  </si>
  <si>
    <t>Net Weight</t>
  </si>
  <si>
    <t>GatePassNo</t>
  </si>
  <si>
    <t>GatePassdate</t>
  </si>
  <si>
    <t>VehicleNo</t>
  </si>
  <si>
    <t>DriverName</t>
  </si>
  <si>
    <t>KA01/1234</t>
  </si>
  <si>
    <t>Ram</t>
  </si>
  <si>
    <t>KA00/1234</t>
  </si>
  <si>
    <t>HR09</t>
  </si>
  <si>
    <t>DL06</t>
  </si>
  <si>
    <t>PB25/2300</t>
  </si>
  <si>
    <t>KL03/234</t>
  </si>
  <si>
    <t>Shyam</t>
  </si>
  <si>
    <t>Mohan</t>
  </si>
  <si>
    <t>Kamal</t>
  </si>
  <si>
    <t>Aman</t>
  </si>
  <si>
    <t>Kamat</t>
  </si>
  <si>
    <t>5</t>
  </si>
  <si>
    <t>3</t>
  </si>
  <si>
    <t>6</t>
  </si>
  <si>
    <t>7</t>
  </si>
  <si>
    <t>4</t>
  </si>
  <si>
    <t>2</t>
  </si>
  <si>
    <t>tblGatePass</t>
  </si>
  <si>
    <t>WeighmentNo</t>
  </si>
  <si>
    <t>WeighmentDate</t>
  </si>
  <si>
    <t>GrossWeight</t>
  </si>
  <si>
    <t>TareWeight</t>
  </si>
  <si>
    <t>NetWeight</t>
  </si>
  <si>
    <t>Materials</t>
  </si>
  <si>
    <t>tblGatePass_Tran</t>
  </si>
  <si>
    <t>FatePassDate</t>
  </si>
  <si>
    <t>Wheat</t>
  </si>
  <si>
    <t>Maize</t>
  </si>
  <si>
    <t>Gram</t>
  </si>
  <si>
    <t>Rice</t>
  </si>
  <si>
    <t>MaterialID</t>
  </si>
  <si>
    <t>Autogenerated</t>
  </si>
  <si>
    <t>Tare Weight</t>
  </si>
  <si>
    <t>Purchaser</t>
  </si>
  <si>
    <t>Seller</t>
  </si>
  <si>
    <t>Vehicle type</t>
  </si>
  <si>
    <t>tblVehicleType</t>
  </si>
  <si>
    <t>Tubo8Weeler</t>
  </si>
  <si>
    <t>Truck 10 Wheel</t>
  </si>
  <si>
    <t>Tata 407</t>
  </si>
  <si>
    <t>Jeep</t>
  </si>
  <si>
    <t>Date &amp; Time</t>
  </si>
  <si>
    <t>Automatic/Manual</t>
  </si>
  <si>
    <t>Remarks:</t>
  </si>
  <si>
    <t>Capture</t>
  </si>
  <si>
    <t>Driver Name</t>
  </si>
  <si>
    <t>&lt;add new button is required&gt;</t>
  </si>
  <si>
    <t>button to capture weight from port</t>
  </si>
  <si>
    <t>&lt;Toggle button</t>
  </si>
  <si>
    <t>Weighment</t>
  </si>
  <si>
    <t>Camera Image</t>
  </si>
  <si>
    <t>Camera 1</t>
  </si>
  <si>
    <t>Capture Camera 1</t>
  </si>
  <si>
    <t>Camera 2</t>
  </si>
  <si>
    <t>Camera 3</t>
  </si>
  <si>
    <t>Capture Camera 2</t>
  </si>
  <si>
    <t>Capture Camera 3</t>
  </si>
  <si>
    <t>Weighment First Weight</t>
  </si>
  <si>
    <t>Weighment Second Weight</t>
  </si>
  <si>
    <t>Search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</si>
</sst>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09]m/d/yy\ h:mm\ AM/PM;@"/>
    <numFmt numFmtId="167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4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9" fontId="0" fillId="0" borderId="1" xfId="0" quotePrefix="1" applyNumberFormat="1" applyBorder="1"/>
    <xf numFmtId="14" fontId="0" fillId="0" borderId="1" xfId="0" applyNumberFormat="1" applyBorder="1"/>
    <xf numFmtId="15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0" fillId="0" borderId="11" xfId="0" applyBorder="1"/>
    <xf numFmtId="2" fontId="0" fillId="2" borderId="16" xfId="0" applyNumberFormat="1" applyFill="1" applyBorder="1"/>
    <xf numFmtId="0" fontId="0" fillId="0" borderId="0" xfId="0" applyBorder="1"/>
    <xf numFmtId="166" fontId="0" fillId="0" borderId="2" xfId="0" applyNumberFormat="1" applyBorder="1"/>
    <xf numFmtId="0" fontId="0" fillId="0" borderId="12" xfId="0" applyBorder="1"/>
    <xf numFmtId="0" fontId="0" fillId="0" borderId="18" xfId="0" applyBorder="1"/>
    <xf numFmtId="0" fontId="0" fillId="3" borderId="0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/>
    <xf numFmtId="0" fontId="0" fillId="0" borderId="17" xfId="0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 applyBorder="1"/>
    <xf numFmtId="0" fontId="0" fillId="3" borderId="7" xfId="0" applyFill="1" applyBorder="1"/>
    <xf numFmtId="0" fontId="0" fillId="3" borderId="0" xfId="0" applyFill="1" applyBorder="1" applyAlignment="1">
      <alignment horizontal="right"/>
    </xf>
    <xf numFmtId="0" fontId="0" fillId="0" borderId="19" xfId="0" applyBorder="1"/>
    <xf numFmtId="167" fontId="4" fillId="0" borderId="2" xfId="0" applyNumberFormat="1" applyFont="1" applyBorder="1"/>
    <xf numFmtId="0" fontId="0" fillId="4" borderId="2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1" fillId="0" borderId="0" xfId="0" applyFont="1" applyBorder="1"/>
    <xf numFmtId="0" fontId="0" fillId="0" borderId="0" xfId="0" applyBorder="1" applyAlignment="1">
      <alignment horizontal="center" vertical="top"/>
    </xf>
    <xf numFmtId="167" fontId="4" fillId="0" borderId="0" xfId="0" applyNumberFormat="1" applyFont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0" borderId="0" xfId="0" applyFont="1" applyBorder="1"/>
    <xf numFmtId="0" fontId="3" fillId="0" borderId="7" xfId="0" applyFont="1" applyBorder="1"/>
    <xf numFmtId="0" fontId="0" fillId="5" borderId="2" xfId="0" applyFill="1" applyBorder="1"/>
    <xf numFmtId="0" fontId="0" fillId="5" borderId="15" xfId="0" applyFill="1" applyBorder="1"/>
    <xf numFmtId="0" fontId="0" fillId="4" borderId="2" xfId="0" applyFill="1" applyBorder="1" applyAlignment="1">
      <alignment horizontal="center"/>
    </xf>
    <xf numFmtId="2" fontId="0" fillId="0" borderId="1" xfId="0" applyNumberFormat="1" applyBorder="1"/>
    <xf numFmtId="49" fontId="0" fillId="0" borderId="18" xfId="0" quotePrefix="1" applyNumberFormat="1" applyBorder="1"/>
    <xf numFmtId="14" fontId="0" fillId="0" borderId="18" xfId="0" applyNumberFormat="1" applyBorder="1"/>
    <xf numFmtId="2" fontId="0" fillId="0" borderId="0" xfId="0" applyNumberFormat="1" applyBorder="1"/>
    <xf numFmtId="49" fontId="0" fillId="0" borderId="0" xfId="0" quotePrefix="1" applyNumberFormat="1" applyBorder="1"/>
    <xf numFmtId="14" fontId="0" fillId="0" borderId="0" xfId="0" applyNumberFormat="1" applyBorder="1"/>
    <xf numFmtId="15" fontId="0" fillId="0" borderId="0" xfId="0" applyNumberFormat="1" applyBorder="1"/>
    <xf numFmtId="1" fontId="0" fillId="0" borderId="0" xfId="0" applyNumberFormat="1" applyBorder="1"/>
    <xf numFmtId="0" fontId="0" fillId="0" borderId="0" xfId="0" applyBorder="1" applyAlignment="1">
      <alignment horizontal="center" vertical="center"/>
    </xf>
    <xf numFmtId="2" fontId="0" fillId="3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1213891</xdr:colOff>
          <xdr:row>6</xdr:row>
          <xdr:rowOff>21148</xdr:rowOff>
        </xdr:from>
        <xdr:to>
          <xdr:col>4</xdr:col>
          <xdr:colOff>25684</xdr:colOff>
          <xdr:row>7</xdr:row>
          <xdr:rowOff>42809</xdr:rowOff>
        </xdr:to>
        <xdr:sp macro="" textlink="">
          <xdr:nvSpPr>
            <xdr:cNvPr id="1039" name="ComboBox1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11</xdr:col>
      <xdr:colOff>445213</xdr:colOff>
      <xdr:row>19</xdr:row>
      <xdr:rowOff>25686</xdr:rowOff>
    </xdr:from>
    <xdr:to>
      <xdr:col>13</xdr:col>
      <xdr:colOff>179798</xdr:colOff>
      <xdr:row>19</xdr:row>
      <xdr:rowOff>351035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1C8A96-70C0-E9C4-5709-88AAA0C01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7842" y="4169596"/>
          <a:ext cx="2688405" cy="32534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1196769</xdr:colOff>
          <xdr:row>63</xdr:row>
          <xdr:rowOff>175261</xdr:rowOff>
        </xdr:from>
        <xdr:ext cx="1046423" cy="210021"/>
        <xdr:sp macro="" textlink="">
          <xdr:nvSpPr>
            <xdr:cNvPr id="1054" name="ComboBox2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B4BA328F-FCD6-456F-9F43-4A8E5786B4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11</xdr:col>
      <xdr:colOff>684943</xdr:colOff>
      <xdr:row>78</xdr:row>
      <xdr:rowOff>17124</xdr:rowOff>
    </xdr:from>
    <xdr:ext cx="2484335" cy="325349"/>
    <xdr:pic>
      <xdr:nvPicPr>
        <xdr:cNvPr id="4" name="Picture 3">
          <a:extLst>
            <a:ext uri="{FF2B5EF4-FFF2-40B4-BE49-F238E27FC236}">
              <a16:creationId xmlns:a16="http://schemas.microsoft.com/office/drawing/2014/main" id="{A5D259A3-3435-43EF-864A-B3ABDF82B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7572" y="13664630"/>
          <a:ext cx="2484335" cy="3253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47FE-A7C8-4CC5-B0E5-EF6441188BFD}">
  <sheetPr codeName="Sheet1"/>
  <dimension ref="A1:AI79"/>
  <sheetViews>
    <sheetView showGridLines="0" tabSelected="1" topLeftCell="A49" zoomScale="89" zoomScaleNormal="89" workbookViewId="0">
      <selection activeCell="J56" sqref="J56"/>
    </sheetView>
  </sheetViews>
  <sheetFormatPr defaultRowHeight="14.4" x14ac:dyDescent="0.3"/>
  <cols>
    <col min="2" max="2" width="3.88671875" customWidth="1"/>
    <col min="3" max="3" width="17.77734375" customWidth="1"/>
    <col min="4" max="4" width="14.88671875" bestFit="1" customWidth="1"/>
    <col min="5" max="5" width="3" customWidth="1"/>
    <col min="6" max="6" width="16.5546875" customWidth="1"/>
    <col min="7" max="7" width="1.44140625" customWidth="1"/>
    <col min="8" max="8" width="23.5546875" bestFit="1" customWidth="1"/>
    <col min="9" max="9" width="1.33203125" customWidth="1"/>
    <col min="10" max="10" width="21.88671875" bestFit="1" customWidth="1"/>
    <col min="11" max="11" width="19.33203125" customWidth="1"/>
    <col min="12" max="12" width="16.44140625" bestFit="1" customWidth="1"/>
    <col min="13" max="13" width="26.5546875" customWidth="1"/>
    <col min="14" max="14" width="3.44140625" customWidth="1"/>
    <col min="15" max="15" width="4" customWidth="1"/>
    <col min="16" max="16" width="13.6640625" customWidth="1"/>
    <col min="17" max="17" width="14.109375" customWidth="1"/>
    <col min="18" max="18" width="18.6640625" bestFit="1" customWidth="1"/>
    <col min="19" max="19" width="18.21875" bestFit="1" customWidth="1"/>
    <col min="20" max="20" width="17.33203125" bestFit="1" customWidth="1"/>
    <col min="21" max="21" width="14.33203125" bestFit="1" customWidth="1"/>
    <col min="22" max="22" width="9.109375" bestFit="1" customWidth="1"/>
    <col min="23" max="23" width="17.33203125" bestFit="1" customWidth="1"/>
    <col min="24" max="24" width="13.109375" bestFit="1" customWidth="1"/>
    <col min="25" max="25" width="9.77734375" bestFit="1" customWidth="1"/>
    <col min="27" max="27" width="15.33203125" bestFit="1" customWidth="1"/>
    <col min="28" max="28" width="12" bestFit="1" customWidth="1"/>
    <col min="31" max="31" width="11.77734375" bestFit="1" customWidth="1"/>
  </cols>
  <sheetData>
    <row r="1" spans="2:32" ht="15" thickBot="1" x14ac:dyDescent="0.35"/>
    <row r="2" spans="2:32" x14ac:dyDescent="0.3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2:32" x14ac:dyDescent="0.3">
      <c r="B3" s="6"/>
      <c r="C3" s="43" t="s">
        <v>69</v>
      </c>
      <c r="D3" s="22"/>
      <c r="E3" s="22"/>
      <c r="F3" s="22"/>
      <c r="G3" s="22"/>
      <c r="H3" s="22"/>
      <c r="I3" s="22"/>
      <c r="J3" s="44"/>
      <c r="K3" s="22"/>
      <c r="L3" s="22"/>
      <c r="M3" s="22"/>
      <c r="N3" s="7"/>
    </row>
    <row r="4" spans="2:32" ht="15" thickBot="1" x14ac:dyDescent="0.35">
      <c r="B4" s="6"/>
      <c r="C4" s="22"/>
      <c r="D4" s="22"/>
      <c r="E4" s="22"/>
      <c r="F4" s="22"/>
      <c r="G4" s="22"/>
      <c r="H4" s="22"/>
      <c r="I4" s="22"/>
      <c r="J4" s="44"/>
      <c r="K4" s="22"/>
      <c r="L4" s="22"/>
      <c r="M4" s="22"/>
      <c r="N4" s="7"/>
      <c r="P4" s="21" t="s">
        <v>29</v>
      </c>
    </row>
    <row r="5" spans="2:32" ht="15" thickBot="1" x14ac:dyDescent="0.35">
      <c r="B5" s="6"/>
      <c r="C5" s="3"/>
      <c r="D5" s="4"/>
      <c r="E5" s="4"/>
      <c r="F5" s="4"/>
      <c r="G5" s="4"/>
      <c r="H5" s="4"/>
      <c r="I5" s="4"/>
      <c r="J5" s="4"/>
      <c r="K5" s="4"/>
      <c r="L5" s="4"/>
      <c r="M5" s="5"/>
      <c r="N5" s="7"/>
      <c r="P5" s="53" t="s">
        <v>7</v>
      </c>
      <c r="Q5" s="1" t="s">
        <v>8</v>
      </c>
      <c r="R5" s="1" t="s">
        <v>9</v>
      </c>
      <c r="S5" s="1" t="s">
        <v>10</v>
      </c>
      <c r="T5" s="1" t="s">
        <v>30</v>
      </c>
      <c r="U5" s="1" t="s">
        <v>31</v>
      </c>
      <c r="V5" s="1" t="s">
        <v>3</v>
      </c>
      <c r="W5" s="1" t="s">
        <v>32</v>
      </c>
      <c r="X5" s="1" t="s">
        <v>33</v>
      </c>
      <c r="Y5" s="1" t="s">
        <v>34</v>
      </c>
    </row>
    <row r="6" spans="2:32" ht="13.8" customHeight="1" thickBot="1" x14ac:dyDescent="0.35">
      <c r="B6" s="6"/>
      <c r="C6" s="6" t="s">
        <v>2</v>
      </c>
      <c r="D6" s="2" t="s">
        <v>43</v>
      </c>
      <c r="E6" s="22"/>
      <c r="F6" s="22" t="s">
        <v>1</v>
      </c>
      <c r="G6" s="22"/>
      <c r="H6" s="2" t="str">
        <f>_xlfn.XLOOKUP(D7, P6:P11, R6:R11, "Not Found")</f>
        <v>KA00/1234</v>
      </c>
      <c r="I6" s="22"/>
      <c r="J6" s="33" t="s">
        <v>4</v>
      </c>
      <c r="K6" s="1"/>
      <c r="L6" s="22" t="s">
        <v>53</v>
      </c>
      <c r="M6" s="37"/>
      <c r="N6" s="7"/>
      <c r="P6" s="14">
        <v>1</v>
      </c>
      <c r="Q6" s="15">
        <v>46028</v>
      </c>
      <c r="R6" s="1" t="s">
        <v>11</v>
      </c>
      <c r="S6" s="1" t="s">
        <v>12</v>
      </c>
      <c r="T6" s="1">
        <v>12</v>
      </c>
      <c r="U6" s="16">
        <v>46082</v>
      </c>
      <c r="V6" s="17">
        <v>100</v>
      </c>
      <c r="W6" s="1">
        <v>123</v>
      </c>
      <c r="X6" s="1">
        <v>23</v>
      </c>
      <c r="Y6" s="1">
        <v>100</v>
      </c>
    </row>
    <row r="7" spans="2:32" ht="15" thickBot="1" x14ac:dyDescent="0.35">
      <c r="B7" s="6"/>
      <c r="C7" s="6" t="s">
        <v>0</v>
      </c>
      <c r="D7" s="22" t="s">
        <v>28</v>
      </c>
      <c r="E7" s="22"/>
      <c r="F7" s="22" t="s">
        <v>57</v>
      </c>
      <c r="G7" s="22"/>
      <c r="H7" s="2">
        <f>L13</f>
        <v>0</v>
      </c>
      <c r="I7" s="22"/>
      <c r="J7" s="26" t="s">
        <v>44</v>
      </c>
      <c r="K7" s="32"/>
      <c r="L7" s="22" t="s">
        <v>53</v>
      </c>
      <c r="M7" s="37"/>
      <c r="N7" s="7"/>
      <c r="P7" s="14" t="s">
        <v>28</v>
      </c>
      <c r="Q7" s="15">
        <v>42404</v>
      </c>
      <c r="R7" s="1" t="s">
        <v>13</v>
      </c>
      <c r="S7" s="1" t="s">
        <v>18</v>
      </c>
      <c r="T7" s="1">
        <v>23</v>
      </c>
      <c r="U7" s="16">
        <v>46083</v>
      </c>
      <c r="V7" s="17">
        <v>101</v>
      </c>
      <c r="W7" s="1">
        <v>134</v>
      </c>
      <c r="X7" s="1">
        <v>34</v>
      </c>
      <c r="Y7" s="1">
        <v>100</v>
      </c>
      <c r="AA7" s="13" t="s">
        <v>36</v>
      </c>
    </row>
    <row r="8" spans="2:32" ht="15" thickBot="1" x14ac:dyDescent="0.35">
      <c r="B8" s="6"/>
      <c r="C8" s="6" t="s">
        <v>5</v>
      </c>
      <c r="D8" s="23">
        <f>_xlfn.XLOOKUP(D7, P6:P11, Q6:Q11, "Not Found")</f>
        <v>42404</v>
      </c>
      <c r="E8" s="22"/>
      <c r="F8" s="22" t="s">
        <v>47</v>
      </c>
      <c r="G8" s="22"/>
      <c r="H8" s="2"/>
      <c r="I8" s="22"/>
      <c r="J8" s="22" t="s">
        <v>6</v>
      </c>
      <c r="K8" s="1"/>
      <c r="L8" s="33" t="s">
        <v>54</v>
      </c>
      <c r="M8" s="49" t="s">
        <v>60</v>
      </c>
      <c r="N8" s="7"/>
      <c r="P8" s="14" t="s">
        <v>24</v>
      </c>
      <c r="Q8" s="15">
        <v>46028</v>
      </c>
      <c r="R8" s="1" t="s">
        <v>14</v>
      </c>
      <c r="S8" s="1" t="s">
        <v>19</v>
      </c>
      <c r="T8" s="1">
        <v>4</v>
      </c>
      <c r="U8" s="16">
        <v>46084</v>
      </c>
      <c r="V8" s="17">
        <v>98</v>
      </c>
      <c r="W8" s="1">
        <v>212</v>
      </c>
      <c r="X8" s="1">
        <v>33</v>
      </c>
      <c r="Y8" s="1">
        <v>179</v>
      </c>
      <c r="AA8" s="1" t="s">
        <v>7</v>
      </c>
      <c r="AB8" s="1" t="s">
        <v>37</v>
      </c>
      <c r="AC8" s="1" t="s">
        <v>42</v>
      </c>
      <c r="AD8" s="18" t="s">
        <v>3</v>
      </c>
      <c r="AE8" s="1" t="s">
        <v>4</v>
      </c>
      <c r="AF8" s="1" t="s">
        <v>6</v>
      </c>
    </row>
    <row r="9" spans="2:32" ht="15" thickBot="1" x14ac:dyDescent="0.35">
      <c r="B9" s="6"/>
      <c r="C9" s="8"/>
      <c r="D9" s="9"/>
      <c r="E9" s="9"/>
      <c r="F9" s="9"/>
      <c r="G9" s="9"/>
      <c r="H9" s="9"/>
      <c r="I9" s="9"/>
      <c r="J9" s="9"/>
      <c r="K9" s="9"/>
      <c r="L9" s="9"/>
      <c r="M9" s="10"/>
      <c r="N9" s="7"/>
      <c r="P9" s="14" t="s">
        <v>27</v>
      </c>
      <c r="Q9" s="15">
        <v>46028</v>
      </c>
      <c r="R9" s="1" t="s">
        <v>15</v>
      </c>
      <c r="S9" s="1" t="s">
        <v>20</v>
      </c>
      <c r="T9" s="1">
        <v>5</v>
      </c>
      <c r="U9" s="16">
        <v>46085</v>
      </c>
      <c r="V9" s="17">
        <v>102</v>
      </c>
      <c r="W9" s="1">
        <v>334</v>
      </c>
      <c r="X9" s="1">
        <v>25</v>
      </c>
      <c r="Y9" s="1">
        <v>309</v>
      </c>
      <c r="AA9" s="14">
        <v>1</v>
      </c>
      <c r="AB9" s="15">
        <v>46028</v>
      </c>
      <c r="AC9" s="1" t="s">
        <v>38</v>
      </c>
      <c r="AD9" s="1">
        <v>20</v>
      </c>
      <c r="AE9" s="1">
        <v>12</v>
      </c>
      <c r="AF9" s="1">
        <v>11</v>
      </c>
    </row>
    <row r="10" spans="2:32" ht="15" thickBot="1" x14ac:dyDescent="0.35">
      <c r="B10" s="6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7"/>
      <c r="P10" s="14" t="s">
        <v>23</v>
      </c>
      <c r="Q10" s="15">
        <v>46028</v>
      </c>
      <c r="R10" s="1" t="s">
        <v>16</v>
      </c>
      <c r="S10" s="1" t="s">
        <v>21</v>
      </c>
      <c r="T10" s="1">
        <v>5</v>
      </c>
      <c r="U10" s="16">
        <v>46086</v>
      </c>
      <c r="V10" s="17">
        <v>104</v>
      </c>
      <c r="W10" s="1">
        <v>334</v>
      </c>
      <c r="X10" s="1">
        <v>32</v>
      </c>
      <c r="Y10" s="1">
        <v>302</v>
      </c>
      <c r="AA10" s="14" t="s">
        <v>28</v>
      </c>
      <c r="AB10" s="15">
        <v>42404</v>
      </c>
      <c r="AC10" s="1" t="s">
        <v>39</v>
      </c>
      <c r="AD10" s="1">
        <v>50</v>
      </c>
      <c r="AE10" s="1">
        <v>21</v>
      </c>
      <c r="AF10" s="1">
        <v>21</v>
      </c>
    </row>
    <row r="11" spans="2:32" ht="15" thickBot="1" x14ac:dyDescent="0.35">
      <c r="B11" s="6"/>
      <c r="C11" s="50" t="s">
        <v>61</v>
      </c>
      <c r="D11" s="50" t="s">
        <v>62</v>
      </c>
      <c r="E11" s="22"/>
      <c r="F11" s="22"/>
      <c r="G11" s="22"/>
      <c r="H11" s="22"/>
      <c r="I11" s="22"/>
      <c r="J11" s="22"/>
      <c r="K11" s="22"/>
      <c r="L11" s="22"/>
      <c r="M11" s="22"/>
      <c r="N11" s="7"/>
      <c r="P11" s="14" t="s">
        <v>26</v>
      </c>
      <c r="Q11" s="15">
        <v>46028</v>
      </c>
      <c r="R11" s="1" t="s">
        <v>17</v>
      </c>
      <c r="S11" s="1" t="s">
        <v>22</v>
      </c>
      <c r="T11" s="1">
        <v>21</v>
      </c>
      <c r="U11" s="16">
        <v>46088</v>
      </c>
      <c r="V11" s="17">
        <v>102</v>
      </c>
      <c r="W11" s="1">
        <v>234</v>
      </c>
      <c r="X11" s="1">
        <v>32</v>
      </c>
      <c r="Y11" s="1">
        <v>202</v>
      </c>
      <c r="AA11" s="14" t="s">
        <v>27</v>
      </c>
      <c r="AB11" s="15">
        <v>46028</v>
      </c>
      <c r="AC11" s="1" t="s">
        <v>38</v>
      </c>
      <c r="AD11" s="1">
        <v>20</v>
      </c>
      <c r="AE11" s="1">
        <v>45</v>
      </c>
      <c r="AF11" s="1">
        <v>45</v>
      </c>
    </row>
    <row r="12" spans="2:32" ht="15" thickBot="1" x14ac:dyDescent="0.35">
      <c r="B12" s="6"/>
      <c r="C12" s="27"/>
      <c r="D12" s="28"/>
      <c r="E12" s="28"/>
      <c r="F12" s="29"/>
      <c r="G12" s="29"/>
      <c r="H12" s="28"/>
      <c r="I12" s="28"/>
      <c r="J12" s="28"/>
      <c r="K12" s="28"/>
      <c r="L12" s="28"/>
      <c r="M12" s="30"/>
      <c r="N12" s="35"/>
      <c r="AA12" s="14" t="s">
        <v>23</v>
      </c>
      <c r="AB12" s="15">
        <v>46028</v>
      </c>
      <c r="AC12" s="1" t="s">
        <v>38</v>
      </c>
      <c r="AD12" s="1">
        <v>30</v>
      </c>
      <c r="AE12" s="1">
        <v>43</v>
      </c>
      <c r="AF12" s="1">
        <v>43</v>
      </c>
    </row>
    <row r="13" spans="2:32" ht="15" thickBot="1" x14ac:dyDescent="0.35">
      <c r="B13" s="6"/>
      <c r="C13" s="6" t="s">
        <v>35</v>
      </c>
      <c r="D13" s="2" t="str">
        <f>_xlfn.XLOOKUP(D7,AA9:AA14,AC9:AC14)</f>
        <v>Maize</v>
      </c>
      <c r="E13" s="22"/>
      <c r="F13" s="46" t="s">
        <v>58</v>
      </c>
      <c r="G13" s="47"/>
      <c r="H13" s="46"/>
      <c r="I13" s="46"/>
      <c r="J13" s="26"/>
      <c r="K13" s="26"/>
      <c r="L13" s="26"/>
      <c r="M13" s="35"/>
      <c r="N13" s="35"/>
      <c r="AA13" s="14" t="s">
        <v>25</v>
      </c>
      <c r="AB13" s="15">
        <v>46028</v>
      </c>
      <c r="AC13" s="1" t="s">
        <v>40</v>
      </c>
      <c r="AD13" s="1">
        <v>40</v>
      </c>
      <c r="AE13" s="1">
        <v>34</v>
      </c>
      <c r="AF13" s="1">
        <v>33</v>
      </c>
    </row>
    <row r="14" spans="2:32" ht="15" thickBot="1" x14ac:dyDescent="0.35">
      <c r="B14" s="6"/>
      <c r="C14" s="6" t="s">
        <v>45</v>
      </c>
      <c r="D14" s="13"/>
      <c r="E14" s="22"/>
      <c r="F14" s="22"/>
      <c r="G14" s="22"/>
      <c r="H14" s="22"/>
      <c r="I14" s="22"/>
      <c r="J14" s="22"/>
      <c r="K14" s="22"/>
      <c r="L14" s="22"/>
      <c r="M14" s="7"/>
      <c r="N14" s="7"/>
      <c r="P14" s="22"/>
      <c r="AA14" s="14" t="s">
        <v>26</v>
      </c>
      <c r="AB14" s="15">
        <v>46028</v>
      </c>
      <c r="AC14" s="1" t="s">
        <v>41</v>
      </c>
      <c r="AD14" s="1">
        <v>30</v>
      </c>
      <c r="AE14" s="1">
        <v>32</v>
      </c>
      <c r="AF14" s="1">
        <v>31</v>
      </c>
    </row>
    <row r="15" spans="2:32" ht="15" thickBot="1" x14ac:dyDescent="0.35">
      <c r="B15" s="6"/>
      <c r="C15" s="6" t="s">
        <v>46</v>
      </c>
      <c r="D15" s="2"/>
      <c r="E15" s="22"/>
      <c r="F15" s="22"/>
      <c r="G15" s="22"/>
      <c r="H15" s="22"/>
      <c r="I15" s="22"/>
      <c r="J15" s="22"/>
      <c r="K15" s="22"/>
      <c r="L15" s="22"/>
      <c r="M15" s="7"/>
      <c r="N15" s="7"/>
      <c r="P15" s="22"/>
      <c r="AB15" s="19"/>
    </row>
    <row r="16" spans="2:32" ht="61.8" thickBot="1" x14ac:dyDescent="1.1499999999999999">
      <c r="B16" s="6"/>
      <c r="C16" s="6" t="s">
        <v>55</v>
      </c>
      <c r="D16" s="20"/>
      <c r="E16" s="24"/>
      <c r="F16" s="11"/>
      <c r="G16" s="22"/>
      <c r="H16" s="38">
        <v>0</v>
      </c>
      <c r="I16" s="22"/>
      <c r="J16" s="22"/>
      <c r="K16" s="22"/>
      <c r="L16" s="22"/>
      <c r="M16" s="7"/>
      <c r="N16" s="7"/>
      <c r="P16" s="22"/>
      <c r="AB16" s="19"/>
    </row>
    <row r="17" spans="1:35" ht="15" thickBot="1" x14ac:dyDescent="0.35">
      <c r="B17" s="6"/>
      <c r="C17" s="6"/>
      <c r="D17" s="22"/>
      <c r="E17" s="22"/>
      <c r="F17" s="22"/>
      <c r="G17" s="22"/>
      <c r="H17" s="39" t="s">
        <v>56</v>
      </c>
      <c r="I17" s="22"/>
      <c r="J17" s="48" t="s">
        <v>59</v>
      </c>
      <c r="K17" s="22"/>
      <c r="L17" s="22"/>
      <c r="M17" s="7"/>
      <c r="N17" s="7"/>
      <c r="P17" s="1" t="s">
        <v>48</v>
      </c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ht="15" thickBot="1" x14ac:dyDescent="0.35">
      <c r="B18" s="6"/>
      <c r="C18" s="8"/>
      <c r="D18" s="9"/>
      <c r="E18" s="9"/>
      <c r="F18" s="9"/>
      <c r="G18" s="9"/>
      <c r="H18" s="9"/>
      <c r="I18" s="9"/>
      <c r="J18" s="9"/>
      <c r="K18" s="9"/>
      <c r="L18" s="9"/>
      <c r="M18" s="10"/>
      <c r="N18" s="7"/>
      <c r="P18" s="1" t="s">
        <v>49</v>
      </c>
      <c r="R18" s="6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ht="15" thickBot="1" x14ac:dyDescent="0.35">
      <c r="B19" s="6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7"/>
      <c r="P19" s="1" t="s">
        <v>50</v>
      </c>
      <c r="R19" s="56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ht="30.6" customHeight="1" thickBot="1" x14ac:dyDescent="0.35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2"/>
      <c r="P20" s="1" t="s">
        <v>51</v>
      </c>
      <c r="R20" s="57"/>
      <c r="S20" s="58"/>
      <c r="T20" s="22"/>
      <c r="U20" s="22"/>
      <c r="V20" s="22"/>
      <c r="W20" s="59"/>
      <c r="X20" s="60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x14ac:dyDescent="0.3">
      <c r="A21" s="22"/>
      <c r="B21" s="22"/>
      <c r="C21" s="26"/>
      <c r="D21" s="26"/>
      <c r="E21" s="26"/>
      <c r="F21" s="26"/>
      <c r="G21" s="26"/>
      <c r="H21" s="36"/>
      <c r="I21" s="26"/>
      <c r="J21" s="36"/>
      <c r="K21" s="26"/>
      <c r="L21" s="26"/>
      <c r="M21" s="26"/>
      <c r="N21" s="26"/>
      <c r="P21" s="1" t="s">
        <v>52</v>
      </c>
      <c r="R21" s="57"/>
      <c r="S21" s="58"/>
      <c r="T21" s="22"/>
      <c r="U21" s="22"/>
      <c r="V21" s="22"/>
      <c r="W21" s="59"/>
      <c r="X21" s="60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ht="15" thickBot="1" x14ac:dyDescent="0.3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R22" s="57"/>
      <c r="S22" s="58"/>
      <c r="T22" s="22"/>
      <c r="U22" s="22"/>
      <c r="V22" s="22"/>
      <c r="W22" s="59"/>
      <c r="X22" s="60"/>
      <c r="Y22" s="22"/>
      <c r="Z22" s="22"/>
      <c r="AA22" s="22"/>
      <c r="AB22" s="22"/>
      <c r="AC22" s="22"/>
      <c r="AD22" s="22"/>
      <c r="AE22" s="22"/>
      <c r="AF22" s="61"/>
      <c r="AG22" s="22"/>
      <c r="AH22" s="22"/>
      <c r="AI22" s="22"/>
    </row>
    <row r="23" spans="1:35" ht="15" thickBot="1" x14ac:dyDescent="0.35">
      <c r="A23" s="22"/>
      <c r="B23" s="22"/>
      <c r="C23" s="26"/>
      <c r="D23" s="51" t="s">
        <v>62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R23" s="57"/>
      <c r="S23" s="58"/>
      <c r="T23" s="22"/>
      <c r="U23" s="22"/>
      <c r="V23" s="22"/>
      <c r="W23" s="59"/>
      <c r="X23" s="60"/>
      <c r="Y23" s="22"/>
      <c r="Z23" s="22"/>
      <c r="AA23" s="22"/>
      <c r="AB23" s="22"/>
      <c r="AC23" s="57"/>
      <c r="AD23" s="58"/>
      <c r="AE23" s="22"/>
      <c r="AF23" s="22"/>
      <c r="AG23" s="22"/>
      <c r="AH23" s="22"/>
      <c r="AI23" s="22"/>
    </row>
    <row r="24" spans="1:35" ht="15" thickBot="1" x14ac:dyDescent="0.35">
      <c r="A24" s="22"/>
      <c r="B24" s="22"/>
      <c r="C24" s="27"/>
      <c r="D24" s="28"/>
      <c r="E24" s="28"/>
      <c r="F24" s="29"/>
      <c r="G24" s="29"/>
      <c r="H24" s="28"/>
      <c r="I24" s="28"/>
      <c r="J24" s="28"/>
      <c r="K24" s="28"/>
      <c r="L24" s="28"/>
      <c r="M24" s="30"/>
      <c r="N24" s="22"/>
      <c r="R24" s="57"/>
      <c r="S24" s="58"/>
      <c r="T24" s="22"/>
      <c r="U24" s="22"/>
      <c r="V24" s="22"/>
      <c r="W24" s="59"/>
      <c r="X24" s="60"/>
      <c r="Y24" s="22"/>
      <c r="Z24" s="22"/>
      <c r="AA24" s="22"/>
      <c r="AB24" s="22"/>
      <c r="AC24" s="57"/>
      <c r="AD24" s="58"/>
      <c r="AE24" s="22"/>
      <c r="AF24" s="22"/>
      <c r="AG24" s="22"/>
      <c r="AH24" s="22"/>
      <c r="AI24" s="22"/>
    </row>
    <row r="25" spans="1:35" x14ac:dyDescent="0.3">
      <c r="A25" s="22"/>
      <c r="B25" s="22"/>
      <c r="C25" s="6" t="s">
        <v>63</v>
      </c>
      <c r="D25" s="3"/>
      <c r="E25" s="5"/>
      <c r="F25" s="22" t="s">
        <v>65</v>
      </c>
      <c r="G25" s="22"/>
      <c r="H25" s="13"/>
      <c r="I25" s="46"/>
      <c r="J25" s="26"/>
      <c r="K25" s="22" t="s">
        <v>66</v>
      </c>
      <c r="L25" s="13"/>
      <c r="M25" s="35"/>
      <c r="N25" s="22"/>
      <c r="R25" s="57"/>
      <c r="S25" s="58"/>
      <c r="T25" s="22"/>
      <c r="U25" s="22"/>
      <c r="V25" s="22"/>
      <c r="W25" s="59"/>
      <c r="X25" s="60"/>
      <c r="Y25" s="22"/>
      <c r="Z25" s="22"/>
      <c r="AA25" s="22"/>
      <c r="AB25" s="22"/>
      <c r="AC25" s="57"/>
      <c r="AD25" s="58"/>
      <c r="AE25" s="22"/>
      <c r="AF25" s="22"/>
      <c r="AG25" s="22"/>
      <c r="AH25" s="22"/>
      <c r="AI25" s="22"/>
    </row>
    <row r="26" spans="1:35" x14ac:dyDescent="0.3">
      <c r="A26" s="22"/>
      <c r="B26" s="22"/>
      <c r="C26" s="6"/>
      <c r="D26" s="6"/>
      <c r="E26" s="7"/>
      <c r="F26" s="22"/>
      <c r="G26" s="22"/>
      <c r="H26" s="31"/>
      <c r="I26" s="22"/>
      <c r="J26" s="22"/>
      <c r="K26" s="22"/>
      <c r="L26" s="31"/>
      <c r="M26" s="7"/>
      <c r="N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57"/>
      <c r="AD26" s="58"/>
      <c r="AE26" s="22"/>
      <c r="AF26" s="22"/>
      <c r="AG26" s="22"/>
      <c r="AH26" s="22"/>
      <c r="AI26" s="22"/>
    </row>
    <row r="27" spans="1:35" x14ac:dyDescent="0.3">
      <c r="A27" s="22"/>
      <c r="B27" s="22"/>
      <c r="C27" s="6"/>
      <c r="D27" s="6"/>
      <c r="E27" s="7"/>
      <c r="F27" s="22"/>
      <c r="G27" s="22"/>
      <c r="H27" s="31"/>
      <c r="I27" s="22"/>
      <c r="J27" s="22"/>
      <c r="K27" s="22"/>
      <c r="L27" s="31"/>
      <c r="M27" s="7"/>
      <c r="N27" s="22"/>
      <c r="AC27" s="54" t="s">
        <v>25</v>
      </c>
      <c r="AD27" s="55">
        <v>46028</v>
      </c>
      <c r="AE27" s="25" t="s">
        <v>40</v>
      </c>
      <c r="AF27" s="25">
        <v>40</v>
      </c>
      <c r="AG27" s="25">
        <v>34</v>
      </c>
      <c r="AH27" s="25">
        <v>33</v>
      </c>
    </row>
    <row r="28" spans="1:35" ht="61.8" thickBot="1" x14ac:dyDescent="1.1499999999999999">
      <c r="A28" s="22"/>
      <c r="B28" s="22"/>
      <c r="C28" s="6"/>
      <c r="D28" s="8"/>
      <c r="E28" s="10"/>
      <c r="F28" s="22"/>
      <c r="G28" s="22"/>
      <c r="H28" s="12"/>
      <c r="I28" s="45"/>
      <c r="J28" s="22"/>
      <c r="K28" s="22"/>
      <c r="L28" s="12"/>
      <c r="M28" s="7"/>
      <c r="N28" s="22"/>
      <c r="R28" s="22"/>
      <c r="AC28" s="14" t="s">
        <v>26</v>
      </c>
      <c r="AD28" s="15">
        <v>46028</v>
      </c>
      <c r="AE28" s="1" t="s">
        <v>41</v>
      </c>
      <c r="AF28" s="1">
        <v>30</v>
      </c>
      <c r="AG28" s="1">
        <v>32</v>
      </c>
      <c r="AH28" s="1">
        <v>31</v>
      </c>
    </row>
    <row r="29" spans="1:35" x14ac:dyDescent="0.3">
      <c r="A29" s="22"/>
      <c r="B29" s="22"/>
      <c r="C29" s="6"/>
      <c r="D29" s="34" t="s">
        <v>64</v>
      </c>
      <c r="E29" s="22"/>
      <c r="F29" s="22"/>
      <c r="G29" s="26"/>
      <c r="H29" s="34" t="s">
        <v>67</v>
      </c>
      <c r="I29" s="22"/>
      <c r="J29" s="48"/>
      <c r="K29" s="22"/>
      <c r="L29" s="34" t="s">
        <v>68</v>
      </c>
      <c r="M29" s="7"/>
      <c r="N29" s="22"/>
      <c r="R29" s="22"/>
      <c r="AD29" s="19"/>
    </row>
    <row r="30" spans="1:35" ht="15" thickBot="1" x14ac:dyDescent="0.35">
      <c r="A30" s="22"/>
      <c r="B30" s="22"/>
      <c r="C30" s="8"/>
      <c r="D30" s="9"/>
      <c r="E30" s="9"/>
      <c r="F30" s="9"/>
      <c r="G30" s="9"/>
      <c r="H30" s="9"/>
      <c r="I30" s="9"/>
      <c r="J30" s="9"/>
      <c r="K30" s="9"/>
      <c r="L30" s="9"/>
      <c r="M30" s="10"/>
      <c r="N30" s="22"/>
    </row>
    <row r="31" spans="1:35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1:35" ht="15" thickBot="1" x14ac:dyDescent="0.3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3:14" x14ac:dyDescent="0.3"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5"/>
    </row>
    <row r="34" spans="3:14" x14ac:dyDescent="0.3">
      <c r="C34" s="6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7"/>
    </row>
    <row r="35" spans="3:14" x14ac:dyDescent="0.3">
      <c r="C35" s="6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7"/>
    </row>
    <row r="36" spans="3:14" x14ac:dyDescent="0.3">
      <c r="C36" s="6" t="s">
        <v>71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7"/>
    </row>
    <row r="37" spans="3:14" x14ac:dyDescent="0.3">
      <c r="C37" s="6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7"/>
    </row>
    <row r="38" spans="3:14" x14ac:dyDescent="0.3">
      <c r="C38" s="6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7"/>
    </row>
    <row r="39" spans="3:14" x14ac:dyDescent="0.3">
      <c r="C39" s="6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7"/>
    </row>
    <row r="40" spans="3:14" x14ac:dyDescent="0.3">
      <c r="C40" s="6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7"/>
    </row>
    <row r="41" spans="3:14" x14ac:dyDescent="0.3">
      <c r="C41" s="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7"/>
    </row>
    <row r="42" spans="3:14" x14ac:dyDescent="0.3">
      <c r="C42" s="6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7"/>
    </row>
    <row r="43" spans="3:14" x14ac:dyDescent="0.3">
      <c r="C43" s="6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7"/>
    </row>
    <row r="44" spans="3:14" x14ac:dyDescent="0.3">
      <c r="C44" s="6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7"/>
    </row>
    <row r="45" spans="3:14" x14ac:dyDescent="0.3">
      <c r="C45" s="6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7"/>
    </row>
    <row r="46" spans="3:14" x14ac:dyDescent="0.3">
      <c r="C46" s="6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7"/>
    </row>
    <row r="47" spans="3:14" x14ac:dyDescent="0.3">
      <c r="C47" s="6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7"/>
    </row>
    <row r="48" spans="3:14" x14ac:dyDescent="0.3">
      <c r="C48" s="6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7"/>
    </row>
    <row r="49" spans="2:14" x14ac:dyDescent="0.3">
      <c r="C49" s="6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7"/>
    </row>
    <row r="50" spans="2:14" x14ac:dyDescent="0.3">
      <c r="C50" s="6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7"/>
    </row>
    <row r="51" spans="2:14" x14ac:dyDescent="0.3">
      <c r="C51" s="6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7"/>
    </row>
    <row r="52" spans="2:14" x14ac:dyDescent="0.3">
      <c r="C52" s="6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7"/>
    </row>
    <row r="53" spans="2:14" x14ac:dyDescent="0.3">
      <c r="C53" s="6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7"/>
    </row>
    <row r="54" spans="2:14" ht="15" thickBot="1" x14ac:dyDescent="0.35"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60" spans="2:14" ht="15" thickBot="1" x14ac:dyDescent="0.35"/>
    <row r="61" spans="2:14" x14ac:dyDescent="0.3"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</row>
    <row r="62" spans="2:14" x14ac:dyDescent="0.3">
      <c r="B62" s="6"/>
      <c r="C62" s="43" t="s">
        <v>70</v>
      </c>
      <c r="D62" s="22"/>
      <c r="E62" s="22"/>
      <c r="F62" s="22"/>
      <c r="G62" s="22"/>
      <c r="H62" s="22"/>
      <c r="I62" s="22"/>
      <c r="J62" s="44"/>
      <c r="K62" s="22"/>
      <c r="L62" s="22"/>
      <c r="M62" s="22"/>
      <c r="N62" s="7"/>
    </row>
    <row r="63" spans="2:14" ht="15" thickBot="1" x14ac:dyDescent="0.35">
      <c r="B63" s="6"/>
      <c r="C63" s="22"/>
      <c r="D63" s="22"/>
      <c r="E63" s="22"/>
      <c r="F63" s="22"/>
      <c r="G63" s="22"/>
      <c r="H63" s="22"/>
      <c r="I63" s="22"/>
      <c r="J63" s="44"/>
      <c r="K63" s="22"/>
      <c r="L63" s="22"/>
      <c r="M63" s="22"/>
      <c r="N63" s="7"/>
    </row>
    <row r="64" spans="2:14" ht="15" thickBot="1" x14ac:dyDescent="0.35">
      <c r="B64" s="6"/>
      <c r="C64" s="3"/>
      <c r="D64" s="4"/>
      <c r="E64" s="4"/>
      <c r="F64" s="4"/>
      <c r="G64" s="4"/>
      <c r="H64" s="4"/>
      <c r="I64" s="4"/>
      <c r="J64" s="4"/>
      <c r="K64" s="4"/>
      <c r="L64" s="4"/>
      <c r="M64" s="5"/>
      <c r="N64" s="7"/>
    </row>
    <row r="65" spans="2:14" ht="15" thickBot="1" x14ac:dyDescent="0.35">
      <c r="B65" s="6"/>
      <c r="C65" s="6" t="s">
        <v>2</v>
      </c>
      <c r="D65" s="22" t="s">
        <v>27</v>
      </c>
      <c r="E65" s="22"/>
      <c r="F65" s="22" t="s">
        <v>1</v>
      </c>
      <c r="G65" s="22"/>
      <c r="H65" s="2" t="str">
        <f>_xlfn.XLOOKUP(D65, P65:P70, R65:R70, "Not Found")</f>
        <v>Not Found</v>
      </c>
      <c r="I65" s="22"/>
      <c r="J65" s="26" t="s">
        <v>4</v>
      </c>
      <c r="K65" s="1"/>
      <c r="L65" s="22" t="s">
        <v>53</v>
      </c>
      <c r="M65" s="37"/>
      <c r="N65" s="7"/>
    </row>
    <row r="66" spans="2:14" ht="15" thickBot="1" x14ac:dyDescent="0.35">
      <c r="B66" s="6"/>
      <c r="C66" s="6" t="s">
        <v>0</v>
      </c>
      <c r="D66" s="2"/>
      <c r="E66" s="22"/>
      <c r="F66" s="22" t="s">
        <v>57</v>
      </c>
      <c r="G66" s="22"/>
      <c r="H66" s="2">
        <f>L72</f>
        <v>0</v>
      </c>
      <c r="I66" s="22"/>
      <c r="J66" s="34" t="s">
        <v>44</v>
      </c>
      <c r="K66" s="32"/>
      <c r="L66" s="22" t="s">
        <v>53</v>
      </c>
      <c r="M66" s="37"/>
      <c r="N66" s="7"/>
    </row>
    <row r="67" spans="2:14" ht="15" thickBot="1" x14ac:dyDescent="0.35">
      <c r="B67" s="6"/>
      <c r="C67" s="6" t="s">
        <v>5</v>
      </c>
      <c r="D67" s="23" t="str">
        <f>_xlfn.XLOOKUP(D65, P65:P70, Q65:Q70, "Not Found")</f>
        <v>Not Found</v>
      </c>
      <c r="E67" s="22"/>
      <c r="F67" s="22" t="s">
        <v>47</v>
      </c>
      <c r="G67" s="22"/>
      <c r="H67" s="2"/>
      <c r="I67" s="22"/>
      <c r="J67" s="22" t="s">
        <v>6</v>
      </c>
      <c r="K67" s="1"/>
      <c r="L67" s="33" t="s">
        <v>54</v>
      </c>
      <c r="M67" s="49" t="s">
        <v>60</v>
      </c>
      <c r="N67" s="7"/>
    </row>
    <row r="68" spans="2:14" ht="15" thickBot="1" x14ac:dyDescent="0.35">
      <c r="B68" s="6"/>
      <c r="C68" s="8"/>
      <c r="D68" s="9"/>
      <c r="E68" s="9"/>
      <c r="F68" s="9"/>
      <c r="G68" s="9"/>
      <c r="H68" s="9"/>
      <c r="I68" s="9"/>
      <c r="J68" s="9"/>
      <c r="K68" s="9"/>
      <c r="L68" s="9"/>
      <c r="M68" s="10"/>
      <c r="N68" s="7"/>
    </row>
    <row r="69" spans="2:14" ht="15" thickBot="1" x14ac:dyDescent="0.35">
      <c r="B69" s="6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7"/>
    </row>
    <row r="70" spans="2:14" ht="15" thickBot="1" x14ac:dyDescent="0.35">
      <c r="B70" s="6"/>
      <c r="C70" s="50" t="s">
        <v>61</v>
      </c>
      <c r="D70" s="50" t="s">
        <v>62</v>
      </c>
      <c r="E70" s="22"/>
      <c r="F70" s="22"/>
      <c r="G70" s="22"/>
      <c r="H70" s="22"/>
      <c r="I70" s="22"/>
      <c r="J70" s="22"/>
      <c r="K70" s="22"/>
      <c r="L70" s="22"/>
      <c r="M70" s="22"/>
      <c r="N70" s="7"/>
    </row>
    <row r="71" spans="2:14" ht="15" thickBot="1" x14ac:dyDescent="0.35">
      <c r="B71" s="6"/>
      <c r="C71" s="27"/>
      <c r="D71" s="28"/>
      <c r="E71" s="28"/>
      <c r="F71" s="29"/>
      <c r="G71" s="29"/>
      <c r="H71" s="28"/>
      <c r="I71" s="28"/>
      <c r="J71" s="28"/>
      <c r="K71" s="28"/>
      <c r="L71" s="28"/>
      <c r="M71" s="30"/>
      <c r="N71" s="35"/>
    </row>
    <row r="72" spans="2:14" ht="15" thickBot="1" x14ac:dyDescent="0.35">
      <c r="B72" s="6"/>
      <c r="C72" s="6" t="s">
        <v>35</v>
      </c>
      <c r="D72" s="2" t="e">
        <f>_xlfn.XLOOKUP(D65,AA68:AA73,AC68:AC73)</f>
        <v>#N/A</v>
      </c>
      <c r="E72" s="22"/>
      <c r="F72" s="46" t="s">
        <v>58</v>
      </c>
      <c r="G72" s="47"/>
      <c r="H72" s="46"/>
      <c r="I72" s="46"/>
      <c r="J72" s="26"/>
      <c r="K72" s="26"/>
      <c r="L72" s="26"/>
      <c r="M72" s="35"/>
      <c r="N72" s="35"/>
    </row>
    <row r="73" spans="2:14" ht="15" thickBot="1" x14ac:dyDescent="0.35">
      <c r="B73" s="6"/>
      <c r="C73" s="6" t="s">
        <v>45</v>
      </c>
      <c r="D73" s="13"/>
      <c r="E73" s="22"/>
      <c r="F73" s="22"/>
      <c r="G73" s="22"/>
      <c r="H73" s="22"/>
      <c r="I73" s="22"/>
      <c r="J73" s="22"/>
      <c r="K73" s="22"/>
      <c r="L73" s="22"/>
      <c r="M73" s="7"/>
      <c r="N73" s="7"/>
    </row>
    <row r="74" spans="2:14" ht="15" thickBot="1" x14ac:dyDescent="0.35">
      <c r="B74" s="6"/>
      <c r="C74" s="6" t="s">
        <v>46</v>
      </c>
      <c r="D74" s="2"/>
      <c r="E74" s="22"/>
      <c r="F74" s="22"/>
      <c r="G74" s="22"/>
      <c r="H74" s="22"/>
      <c r="I74" s="22"/>
      <c r="J74" s="22"/>
      <c r="K74" s="22"/>
      <c r="L74" s="22"/>
      <c r="M74" s="7"/>
      <c r="N74" s="7"/>
    </row>
    <row r="75" spans="2:14" ht="61.8" thickBot="1" x14ac:dyDescent="1.1499999999999999">
      <c r="B75" s="6"/>
      <c r="C75" s="6" t="s">
        <v>55</v>
      </c>
      <c r="D75" s="20"/>
      <c r="E75" s="24"/>
      <c r="F75" s="11"/>
      <c r="G75" s="22"/>
      <c r="H75" s="38">
        <v>0</v>
      </c>
      <c r="I75" s="22"/>
      <c r="J75" s="22"/>
      <c r="K75" s="22"/>
      <c r="L75" s="22"/>
      <c r="M75" s="7"/>
      <c r="N75" s="7"/>
    </row>
    <row r="76" spans="2:14" ht="15" thickBot="1" x14ac:dyDescent="0.35">
      <c r="B76" s="6"/>
      <c r="C76" s="6"/>
      <c r="D76" s="22"/>
      <c r="E76" s="22"/>
      <c r="F76" s="22"/>
      <c r="G76" s="22"/>
      <c r="H76" s="52" t="s">
        <v>56</v>
      </c>
      <c r="I76" s="22"/>
      <c r="J76" s="48" t="s">
        <v>59</v>
      </c>
      <c r="K76" s="22"/>
      <c r="L76" s="22"/>
      <c r="M76" s="7"/>
      <c r="N76" s="7"/>
    </row>
    <row r="77" spans="2:14" ht="15" thickBot="1" x14ac:dyDescent="0.35">
      <c r="B77" s="6"/>
      <c r="C77" s="8"/>
      <c r="D77" s="9"/>
      <c r="E77" s="9"/>
      <c r="F77" s="9"/>
      <c r="G77" s="9"/>
      <c r="H77" s="9"/>
      <c r="I77" s="9"/>
      <c r="J77" s="9"/>
      <c r="K77" s="9"/>
      <c r="L77" s="9"/>
      <c r="M77" s="10"/>
      <c r="N77" s="7"/>
    </row>
    <row r="78" spans="2:14" ht="15" thickBot="1" x14ac:dyDescent="0.35">
      <c r="B78" s="6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7"/>
    </row>
    <row r="79" spans="2:14" ht="28.2" customHeight="1" thickBot="1" x14ac:dyDescent="0.35">
      <c r="B79" s="40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2"/>
    </row>
  </sheetData>
  <phoneticPr fontId="2" type="noConversion"/>
  <dataValidations count="2">
    <dataValidation type="list" allowBlank="1" showInputMessage="1" showErrorMessage="1" sqref="D13 D72" xr:uid="{110DA07E-9B35-494A-BAF8-7E1D6A32DCAE}">
      <formula1>_xlfn.UNIQUE($AC$9:$AC$14)</formula1>
    </dataValidation>
    <dataValidation type="list" allowBlank="1" showInputMessage="1" showErrorMessage="1" sqref="H8 H67" xr:uid="{C85B363C-E879-4299-B7BD-BFB55101F89F}">
      <formula1>$P$15:$P$18</formula1>
    </dataValidation>
  </dataValidation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54" r:id="rId3" name="ComboBox2">
          <controlPr defaultSize="0" autoLine="0" linkedCell="D7" listFillRange="P6:Y11" r:id="rId4">
            <anchor moveWithCells="1">
              <from>
                <xdr:col>2</xdr:col>
                <xdr:colOff>1196340</xdr:colOff>
                <xdr:row>63</xdr:row>
                <xdr:rowOff>175260</xdr:rowOff>
              </from>
              <to>
                <xdr:col>4</xdr:col>
                <xdr:colOff>7620</xdr:colOff>
                <xdr:row>65</xdr:row>
                <xdr:rowOff>7620</xdr:rowOff>
              </to>
            </anchor>
          </controlPr>
        </control>
      </mc:Choice>
      <mc:Fallback>
        <control shapeId="1054" r:id="rId3" name="ComboBox2"/>
      </mc:Fallback>
    </mc:AlternateContent>
    <mc:AlternateContent xmlns:mc="http://schemas.openxmlformats.org/markup-compatibility/2006">
      <mc:Choice Requires="x14">
        <control shapeId="1039" r:id="rId5" name="ComboBox1">
          <controlPr defaultSize="0" autoLine="0" autoPict="0" linkedCell="D7" listFillRange="P6:Y11" r:id="rId6">
            <anchor moveWithCells="1">
              <from>
                <xdr:col>2</xdr:col>
                <xdr:colOff>1211580</xdr:colOff>
                <xdr:row>6</xdr:row>
                <xdr:rowOff>22860</xdr:rowOff>
              </from>
              <to>
                <xdr:col>4</xdr:col>
                <xdr:colOff>22860</xdr:colOff>
                <xdr:row>7</xdr:row>
                <xdr:rowOff>30480</xdr:rowOff>
              </to>
            </anchor>
          </controlPr>
        </control>
      </mc:Choice>
      <mc:Fallback>
        <control shapeId="1039" r:id="rId5" name="Combo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Gupta</dc:creator>
  <cp:lastModifiedBy>Rajesh Gupta</cp:lastModifiedBy>
  <dcterms:created xsi:type="dcterms:W3CDTF">2026-06-22T11:35:44Z</dcterms:created>
  <dcterms:modified xsi:type="dcterms:W3CDTF">2026-07-02T14:34:18Z</dcterms:modified>
</cp:coreProperties>
</file>